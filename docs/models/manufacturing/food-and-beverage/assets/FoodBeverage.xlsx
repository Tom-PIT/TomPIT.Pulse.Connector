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comments/comment22.xml" ContentType="application/vnd.openxmlformats-officedocument.spreadsheetml.comments+xml"/>
  <Override PartName="/xl/worksheets/sheet24.xml" ContentType="application/vnd.openxmlformats-officedocument.spreadsheetml.worksheet+xml"/>
  <Override PartName="/xl/comments/comment23.xml" ContentType="application/vnd.openxmlformats-officedocument.spreadsheetml.comments+xml"/>
  <Override PartName="/xl/worksheets/sheet25.xml" ContentType="application/vnd.openxmlformats-officedocument.spreadsheetml.worksheet+xml"/>
  <Override PartName="/xl/comments/comment24.xml" ContentType="application/vnd.openxmlformats-officedocument.spreadsheetml.comments+xml"/>
  <Override PartName="/xl/worksheets/sheet26.xml" ContentType="application/vnd.openxmlformats-officedocument.spreadsheetml.worksheet+xml"/>
  <Override PartName="/xl/comments/comment25.xml" ContentType="application/vnd.openxmlformats-officedocument.spreadsheetml.comments+xml"/>
  <Override PartName="/xl/worksheets/sheet27.xml" ContentType="application/vnd.openxmlformats-officedocument.spreadsheetml.worksheet+xml"/>
  <Override PartName="/xl/comments/comment26.xml" ContentType="application/vnd.openxmlformats-officedocument.spreadsheetml.comments+xml"/>
  <Override PartName="/xl/worksheets/sheet28.xml" ContentType="application/vnd.openxmlformats-officedocument.spreadsheetml.worksheet+xml"/>
  <Override PartName="/xl/comments/comment27.xml" ContentType="application/vnd.openxmlformats-officedocument.spreadsheetml.comments+xml"/>
  <Override PartName="/xl/worksheets/sheet29.xml" ContentType="application/vnd.openxmlformats-officedocument.spreadsheetml.worksheet+xml"/>
  <Override PartName="/xl/comments/comment28.xml" ContentType="application/vnd.openxmlformats-officedocument.spreadsheetml.comments+xml"/>
  <Override PartName="/xl/worksheets/sheet30.xml" ContentType="application/vnd.openxmlformats-officedocument.spreadsheetml.worksheet+xml"/>
  <Override PartName="/xl/comments/comment29.xml" ContentType="application/vnd.openxmlformats-officedocument.spreadsheetml.comments+xml"/>
  <Override PartName="/xl/worksheets/sheet31.xml" ContentType="application/vnd.openxmlformats-officedocument.spreadsheetml.worksheet+xml"/>
  <Override PartName="/xl/comments/comment30.xml" ContentType="application/vnd.openxmlformats-officedocument.spreadsheetml.comments+xml"/>
  <Override PartName="/xl/worksheets/sheet32.xml" ContentType="application/vnd.openxmlformats-officedocument.spreadsheetml.worksheet+xml"/>
  <Override PartName="/xl/comments/comment31.xml" ContentType="application/vnd.openxmlformats-officedocument.spreadsheetml.comments+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ites" sheetId="2" state="visible" r:id="rId2"/>
    <sheet xmlns:r="http://schemas.openxmlformats.org/officeDocument/2006/relationships" name="Production lines" sheetId="3" state="visible" r:id="rId3"/>
    <sheet xmlns:r="http://schemas.openxmlformats.org/officeDocument/2006/relationships" name="Machines and sensors" sheetId="4" state="visible" r:id="rId4"/>
    <sheet xmlns:r="http://schemas.openxmlformats.org/officeDocument/2006/relationships" name="Tanks and silos" sheetId="5" state="visible" r:id="rId5"/>
    <sheet xmlns:r="http://schemas.openxmlformats.org/officeDocument/2006/relationships" name="Products" sheetId="6" state="visible" r:id="rId6"/>
    <sheet xmlns:r="http://schemas.openxmlformats.org/officeDocument/2006/relationships" name="Recipes" sheetId="7" state="visible" r:id="rId7"/>
    <sheet xmlns:r="http://schemas.openxmlformats.org/officeDocument/2006/relationships" name="Materials" sheetId="8" state="visible" r:id="rId8"/>
    <sheet xmlns:r="http://schemas.openxmlformats.org/officeDocument/2006/relationships" name="Cost lines" sheetId="9" state="visible" r:id="rId9"/>
    <sheet xmlns:r="http://schemas.openxmlformats.org/officeDocument/2006/relationships" name="Suppliers" sheetId="10" state="visible" r:id="rId10"/>
    <sheet xmlns:r="http://schemas.openxmlformats.org/officeDocument/2006/relationships" name="Customers" sheetId="11" state="visible" r:id="rId11"/>
    <sheet xmlns:r="http://schemas.openxmlformats.org/officeDocument/2006/relationships" name="Shifts" sheetId="12" state="visible" r:id="rId12"/>
    <sheet xmlns:r="http://schemas.openxmlformats.org/officeDocument/2006/relationships" name="Crews" sheetId="13" state="visible" r:id="rId13"/>
    <sheet xmlns:r="http://schemas.openxmlformats.org/officeDocument/2006/relationships" name="What you measure" sheetId="14" state="visible" r:id="rId14"/>
    <sheet xmlns:r="http://schemas.openxmlformats.org/officeDocument/2006/relationships" name="Product limits" sheetId="15" state="visible" r:id="rId15"/>
    <sheet xmlns:r="http://schemas.openxmlformats.org/officeDocument/2006/relationships" name="Room and line conditions" sheetId="16" state="visible" r:id="rId16"/>
    <sheet xmlns:r="http://schemas.openxmlformats.org/officeDocument/2006/relationships" name="Incoming material limits" sheetId="17" state="visible" r:id="rId17"/>
    <sheet xmlns:r="http://schemas.openxmlformats.org/officeDocument/2006/relationships" name="Cleaning regimes" sheetId="18" state="visible" r:id="rId18"/>
    <sheet xmlns:r="http://schemas.openxmlformats.org/officeDocument/2006/relationships" name="Cleaning rules" sheetId="19" state="visible" r:id="rId19"/>
    <sheet xmlns:r="http://schemas.openxmlformats.org/officeDocument/2006/relationships" name="Reason codes" sheetId="20" state="visible" r:id="rId20"/>
    <sheet xmlns:r="http://schemas.openxmlformats.org/officeDocument/2006/relationships" name="Types" sheetId="21" state="visible" r:id="rId21"/>
    <sheet xmlns:r="http://schemas.openxmlformats.org/officeDocument/2006/relationships" name="Incoming lots" sheetId="22" state="visible" r:id="rId22"/>
    <sheet xmlns:r="http://schemas.openxmlformats.org/officeDocument/2006/relationships" name="Batches" sheetId="23" state="visible" r:id="rId23"/>
    <sheet xmlns:r="http://schemas.openxmlformats.org/officeDocument/2006/relationships" name="Runs" sheetId="24" state="visible" r:id="rId24"/>
    <sheet xmlns:r="http://schemas.openxmlformats.org/officeDocument/2006/relationships" name="Planned use" sheetId="25" state="visible" r:id="rId25"/>
    <sheet xmlns:r="http://schemas.openxmlformats.org/officeDocument/2006/relationships" name="Stages" sheetId="26" state="visible" r:id="rId26"/>
    <sheet xmlns:r="http://schemas.openxmlformats.org/officeDocument/2006/relationships" name="Cleans" sheetId="27" state="visible" r:id="rId27"/>
    <sheet xmlns:r="http://schemas.openxmlformats.org/officeDocument/2006/relationships" name="Holds" sheetId="28" state="visible" r:id="rId28"/>
    <sheet xmlns:r="http://schemas.openxmlformats.org/officeDocument/2006/relationships" name="Consumption" sheetId="29" state="visible" r:id="rId29"/>
    <sheet xmlns:r="http://schemas.openxmlformats.org/officeDocument/2006/relationships" name="Output" sheetId="30" state="visible" r:id="rId30"/>
    <sheet xmlns:r="http://schemas.openxmlformats.org/officeDocument/2006/relationships" name="Readings" sheetId="31" state="visible" r:id="rId31"/>
    <sheet xmlns:r="http://schemas.openxmlformats.org/officeDocument/2006/relationships" name="Settings" sheetId="32" state="visible" r:id="rId32"/>
    <sheet xmlns:r="http://schemas.openxmlformats.org/officeDocument/2006/relationships" name="Line time" sheetId="33" state="visible" r:id="rId33"/>
    <sheet xmlns:r="http://schemas.openxmlformats.org/officeDocument/2006/relationships" name="Events" sheetId="34" state="visible" r:id="rId34"/>
    <sheet xmlns:r="http://schemas.openxmlformats.org/officeDocument/2006/relationships" name="Work orders" sheetId="35" state="visible" r:id="rId35"/>
    <sheet xmlns:r="http://schemas.openxmlformats.org/officeDocument/2006/relationships" name="Parts and labour" sheetId="36" state="visible" r:id="rId36"/>
    <sheet xmlns:r="http://schemas.openxmlformats.org/officeDocument/2006/relationships" name="Complaints" sheetId="37" state="visible" r:id="rId37"/>
    <sheet xmlns:r="http://schemas.openxmlformats.org/officeDocument/2006/relationships" name="_lists" sheetId="38" state="hidden" r:id="rId38"/>
  </sheets>
  <definedNames>
    <definedName name="Sites_">'Sites'!$A$4:$A$300</definedName>
    <definedName name="Lines_">'Production lines'!$A$4:$A$300</definedName>
    <definedName name="Machines_">'Machines and sensors'!$A$4:$A$300</definedName>
    <definedName name="Tanks_">'Tanks and silos'!$A$4:$A$300</definedName>
    <definedName name="Products_">'Products'!$A$4:$A$300</definedName>
    <definedName name="Recipes_">'Recipes'!$A$4:$A$300</definedName>
    <definedName name="Materials_">'Materials'!$A$4:$A$300</definedName>
    <definedName name="Suppliers_">'Suppliers'!$A$4:$A$300</definedName>
    <definedName name="Customers_">'Customers'!$A$4:$A$300</definedName>
    <definedName name="Shifts_">'Shifts'!$A$4:$A$300</definedName>
    <definedName name="Crews_">'Crews'!$A$4:$A$300</definedName>
    <definedName name="Regimes_">'Cleaning regimes'!$A$4:$A$300</definedName>
    <definedName name="Reasons_">'Reason codes'!$A$4:$A$300</definedName>
    <definedName name="Lots_">'Incoming lots'!$A$4:$A$300</definedName>
    <definedName name="Orders_">'Work orders'!$A$4:$A$300</definedName>
    <definedName name="Anywhere_">_lists!$A$4:$A$283</definedName>
    <definedName name="Allergens_">_lists!$B$4:$B$123</definedName>
    <definedName name="Storage_">_lists!$C$4:$C$123</definedName>
    <definedName name="Origins_">_lists!$D$4:$D$123</definedName>
    <definedName name="PackFormats_">_lists!$E$4:$E$123</definedName>
    <definedName name="Items_">_lists!$F$4:$F$303</definedName>
    <definedName name="Subjects_">_lists!$G$4:$G$503</definedName>
    <definedName name="Work_">_lists!$H$4:$H$403</definedName>
    <definedName name="Measurements_">_lists!$I$4:$I$123</definedName>
    <definedName name="SettingsList_">_lists!$J$4:$J$123</definedName>
  </definedNames>
  <calcPr calcId="124519" fullCalcOnLoad="1"/>
</workbook>
</file>

<file path=xl/styles.xml><?xml version="1.0" encoding="utf-8"?>
<styleSheet xmlns="http://schemas.openxmlformats.org/spreadsheetml/2006/main">
  <numFmts count="4">
    <numFmt numFmtId="164" formatCode="yyyy-mm-dd h:mm:ss"/>
    <numFmt numFmtId="165" formatCode="yyyy-mm-dd hh:mm"/>
    <numFmt numFmtId="166" formatCode="yyyy-mm-dd"/>
    <numFmt numFmtId="167" formatCode="yyyy-mm-dd hh:mm:ss"/>
  </numFmts>
  <fonts count="7">
    <font>
      <name val="Calibri"/>
      <family val="2"/>
      <color theme="1"/>
      <sz val="11"/>
      <scheme val="minor"/>
    </font>
    <font>
      <b val="1"/>
      <color rgb="001F3864"/>
      <sz val="12"/>
    </font>
    <font>
      <b val="1"/>
    </font>
    <font>
      <i val="1"/>
      <color rgb="00808080"/>
      <sz val="9"/>
    </font>
    <font>
      <b val="1"/>
      <color rgb="00FFFFFF"/>
    </font>
    <font>
      <b val="1"/>
      <color rgb="003F3F3F"/>
    </font>
    <font>
      <color rgb="00909090"/>
    </font>
  </fonts>
  <fills count="5">
    <fill>
      <patternFill/>
    </fill>
    <fill>
      <patternFill patternType="gray125"/>
    </fill>
    <fill>
      <patternFill patternType="solid">
        <fgColor rgb="00FFF2CC"/>
      </patternFill>
    </fill>
    <fill>
      <patternFill patternType="solid">
        <fgColor rgb="001F3864"/>
      </patternFill>
    </fill>
    <fill>
      <patternFill patternType="solid">
        <fgColor rgb="00D9D9D9"/>
      </patternFill>
    </fill>
  </fills>
  <borders count="2">
    <border>
      <left/>
      <right/>
      <top/>
      <bottom/>
      <diagonal/>
    </border>
    <border>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pivotButton="0" quotePrefix="0" xfId="0"/>
    <xf numFmtId="0" fontId="3" fillId="0" borderId="0" pivotButton="0" quotePrefix="0" xfId="0"/>
    <xf numFmtId="165" fontId="0" fillId="2" borderId="0" pivotButton="0" quotePrefix="0" xfId="0"/>
    <xf numFmtId="0" fontId="4" fillId="3" borderId="1" applyAlignment="1" pivotButton="0" quotePrefix="0" xfId="0">
      <alignment vertical="center" wrapText="1"/>
    </xf>
    <xf numFmtId="0" fontId="5" fillId="4" borderId="1" applyAlignment="1" pivotButton="0" quotePrefix="0" xfId="0">
      <alignment vertical="center" wrapText="1"/>
    </xf>
    <xf numFmtId="0" fontId="6" fillId="0" borderId="0" pivotButton="0" quotePrefix="0" xfId="0"/>
    <xf numFmtId="166"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Pulse</author>
  </authors>
  <commentList>
    <comment ref="A3" authorId="0" shapeId="0">
      <text>
        <t>Code
Required. Your code for the site.</t>
      </text>
    </comment>
    <comment ref="B3" authorId="0" shapeId="0">
      <text>
        <t>Name
Required. Town or plant name.</t>
      </text>
    </comment>
    <comment ref="C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xml><?xml version="1.0" encoding="utf-8"?>
<comments xmlns="http://schemas.openxmlformats.org/spreadsheetml/2006/main">
  <authors>
    <author>Pulse</author>
  </authors>
  <commentList>
    <comment ref="A3" authorId="0" shapeId="0">
      <text>
        <t>Code
Required. Your code for the line.</t>
      </text>
    </comment>
    <comment ref="B3" authorId="0" shapeId="0">
      <text>
        <t>Name
Required. What people call it.</t>
      </text>
    </comment>
    <comment ref="C3" authorId="0" shapeId="0">
      <text>
        <t>Site
Required. Which plant it is in.</t>
      </text>
    </comment>
    <comment ref="D3" authorId="0" shapeId="0">
      <text>
        <t>Nominal rate
Optional but worth having. The speed the line is expected to run at when nothing is wrong. It is what lost output is measured against.</t>
      </text>
    </comment>
    <comment ref="E3" authorId="0" shapeId="0">
      <text>
        <t>Rate unit
Optional. pcs/min, kg/h, l/min.</t>
      </text>
    </comment>
    <comment ref="F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xml><?xml version="1.0" encoding="utf-8"?>
<comments xmlns="http://schemas.openxmlformats.org/spreadsheetml/2006/main">
  <authors>
    <author>Pulse</author>
  </authors>
  <commentList>
    <comment ref="A3" authorId="0" shapeId="0">
      <text>
        <t>Code
Required. Your code for it.</t>
      </text>
    </comment>
    <comment ref="B3" authorId="0" shapeId="0">
      <text>
        <t>Name
Required. What people call it.</t>
      </text>
    </comment>
    <comment ref="C3" authorId="0" shapeId="0">
      <text>
        <t>Belongs to
Required. What it sits inside. A nozzle belongs to a head, a head to a filler, a filler to a line. A cold room belongs to the site. Name the smallest part you can — nozzles wear out at their own rate, and that only becomes visible if the nozzle is here.</t>
      </text>
    </comment>
    <comment ref="D3" authorId="0" shapeId="0">
      <text>
        <t>Measures
Only for probes and sensors: what it reads. Leave blank for a machine.</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4.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Line
Required. Which line it feeds or belongs to.</t>
      </text>
    </comment>
    <comment ref="D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5.xml><?xml version="1.0" encoding="utf-8"?>
<comments xmlns="http://schemas.openxmlformats.org/spreadsheetml/2006/main">
  <authors>
    <author>Pulse</author>
  </authors>
  <commentList>
    <comment ref="A3" authorId="0" shapeId="0">
      <text>
        <t>Code
Required. Your code — the SKU.</t>
      </text>
    </comment>
    <comment ref="B3" authorId="0" shapeId="0">
      <text>
        <t>Name
Required. Full product name.</t>
      </text>
    </comment>
    <comment ref="C3" authorId="0" shapeId="0">
      <text>
        <t>Brand
Optional. Lets results be compared by brand.</t>
      </text>
    </comment>
    <comment ref="D3" authorId="0" shapeId="0">
      <text>
        <t>Unit
Required. How you count it: pcs, kg, l.</t>
      </text>
    </comment>
    <comment ref="E3" authorId="0" shapeId="0">
      <text>
        <t>Unit price
Optional. Selling price per unit, used to put a value on losses.</t>
      </text>
    </comment>
    <comment ref="F3" authorId="0" shapeId="0">
      <text>
        <t>Pack format
Optional. Cup, pot, bottle. Add your own on the Types tab.</t>
      </text>
    </comment>
    <comment ref="G3" authorId="0" shapeId="0">
      <text>
        <t>Declared weight
The legal pack weight printed on the label. Not a target — it is what giveaway is measured against. Leave blank for anything not sold by weight.</t>
      </text>
    </comment>
    <comment ref="H3" authorId="0" shapeId="0">
      <text>
        <t>Weight unit
g, kg, ml, l.</t>
      </text>
    </comment>
    <comment ref="I3" authorId="0" shapeId="0">
      <text>
        <t>Shelf life (days)
Optional. Fill it in and the expiry of every lot you make is worked out for you.</t>
      </text>
    </comment>
    <comment ref="J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6.xml><?xml version="1.0" encoding="utf-8"?>
<comments xmlns="http://schemas.openxmlformats.org/spreadsheetml/2006/main">
  <authors>
    <author>Pulse</author>
  </authors>
  <commentList>
    <comment ref="A3" authorId="0" shapeId="0">
      <text>
        <t>Code
Required. Your code. Give it a new one when the recipe changes — a recipe change is a boundary in the results, so two versions are never mixed together.</t>
      </text>
    </comment>
    <comment ref="B3" authorId="0" shapeId="0">
      <text>
        <t>Name
Required. What people call it.</t>
      </text>
    </comment>
    <comment ref="C3" authorId="0" shapeId="0">
      <text>
        <t>Product
Which product it makes. Leave blank for a base or intermediate recipe.</t>
      </text>
    </comment>
    <comment ref="D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7.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Unit
Required. kg, l, pcs, kWh, MJ.</t>
      </text>
    </comment>
    <comment ref="D3" authorId="0" shapeId="0">
      <text>
        <t>Group
Optional. Your own grouping — dairy, fruit, packaging, chemicals, spares.</t>
      </text>
    </comment>
    <comment ref="E3" authorId="0" shapeId="0">
      <text>
        <t>Lot tracked
Required. yes for anything that arrives with a delivery lot. no for mains water, electricity and steam — then it may be used without naming a lot.</t>
      </text>
    </comment>
    <comment ref="F3" authorId="0" shapeId="0">
      <text>
        <t>Allergen
Optional. Add your own values on the Types tab.</t>
      </text>
    </comment>
    <comment ref="G3" authorId="0" shapeId="0">
      <text>
        <t>Storage
Optional. Chilled, frozen, ambient.</t>
      </text>
    </comment>
    <comment ref="H3" authorId="0" shapeId="0">
      <text>
        <t>Origin
Optional, and as a country rather than a farm. Anything with more than about 25 different values is too fine to compare on.</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8.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Unit
Optional. h, job, kg, m3.</t>
      </text>
    </comment>
    <comment ref="D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9.xml><?xml version="1.0" encoding="utf-8"?>
<comments xmlns="http://schemas.openxmlformats.org/spreadsheetml/2006/main">
  <authors>
    <author>Pulse</author>
  </authors>
  <commentList>
    <comment ref="A3" authorId="0" shapeId="0">
      <text>
        <t>Code
Required. Your code.</t>
      </text>
    </comment>
    <comment ref="B3" authorId="0" shapeId="0">
      <text>
        <t>Name
Required. Registered name.</t>
      </text>
    </comment>
    <comment ref="C3" authorId="0" shapeId="0">
      <text>
        <t>Tax number
Optional but recommended. VAT or tax id — it is what lets two of your systems agree they mean the same company.</t>
      </text>
    </comment>
    <comment ref="D3" authorId="0" shapeId="0">
      <text>
        <t>Group
Optional. Cooperative, farm, trader, packaging.</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0.xml><?xml version="1.0" encoding="utf-8"?>
<comments xmlns="http://schemas.openxmlformats.org/spreadsheetml/2006/main">
  <authors>
    <author>Pulse</author>
  </authors>
  <commentList>
    <comment ref="A3" authorId="0" shapeId="0">
      <text>
        <t>Code
Required. Your code.</t>
      </text>
    </comment>
    <comment ref="B3" authorId="0" shapeId="0">
      <text>
        <t>Name
Required. Registered name.</t>
      </text>
    </comment>
    <comment ref="C3" authorId="0" shapeId="0">
      <text>
        <t>Tax number
Optional but recommended.</t>
      </text>
    </comment>
    <comment ref="D3" authorId="0" shapeId="0">
      <text>
        <t>Group
Optional. Retail, discount, food service, export.</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1.xml><?xml version="1.0" encoding="utf-8"?>
<comments xmlns="http://schemas.openxmlformats.org/spreadsheetml/2006/main">
  <authors>
    <author>Pulse</author>
  </authors>
  <commentList>
    <comment ref="A3" authorId="0" shapeId="0">
      <text>
        <t>Code
Required. Your code.</t>
      </text>
    </comment>
    <comment ref="B3" authorId="0" shapeId="0">
      <text>
        <t>Name
Required. Morning, afternoon, night.</t>
      </text>
    </comment>
    <comment ref="C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2.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3.xml><?xml version="1.0" encoding="utf-8"?>
<comments xmlns="http://schemas.openxmlformats.org/spreadsheetml/2006/main">
  <authors>
    <author>Pulse</author>
  </authors>
  <commentList>
    <comment ref="A3" authorId="0" shapeId="0">
      <text>
        <t>Code
Required. Short code you will use when recording a value.</t>
      </text>
    </comment>
    <comment ref="B3" authorId="0" shapeId="0">
      <text>
        <t>Name
Required. What people call it.</t>
      </text>
    </comment>
    <comment ref="C3" authorId="0" shapeId="0">
      <text>
        <t>Unit
C, %rh, bar, pH, g, pcs/min. Leave blank for yes/no and category values.</t>
      </text>
    </comment>
    <comment ref="D3" authorId="0" shapeId="0">
      <text>
        <t>Kind of value
Required. a number, yes/no, a category, or a grade — a grade being ordered categories such as hygiene zone A, B, C.</t>
      </text>
    </comment>
    <comment ref="E3" authorId="0" shapeId="0">
      <text>
        <t>Read every (min)
How often it is sampled. Leave blank for anything only recorded when it changes — a door, a selector, a setting. A door that has not moved for six hours is a closed door, not a stale reading.</t>
      </text>
    </comment>
    <comment ref="F3" authorId="0" shapeId="0">
      <text>
        <t>What it measures
Required. Groups like signals together. a setting means something a person or a program commanded rather than something an instrument read — kept apart because what you set and what the machine did are different facts. Rows marked a setting appear on the Settings tab; everything else on Readings.</t>
      </text>
    </comment>
    <comment ref="G3" authorId="0" shapeId="0">
      <text>
        <t>Ignore below
Optional but worth setting. Below this the reading is a broken instrument, not a measurement.</t>
      </text>
    </comment>
    <comment ref="H3" authorId="0" shapeId="0">
      <text>
        <t>Ignore above
Optional. Above this the reading is a broken instrument.</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4.xml><?xml version="1.0" encoding="utf-8"?>
<comments xmlns="http://schemas.openxmlformats.org/spreadsheetml/2006/main">
  <authors>
    <author>Pulse</author>
  </authors>
  <commentList>
    <comment ref="A3" authorId="0" shapeId="0">
      <text>
        <t>Product
Required. Which product.</t>
      </text>
    </comment>
    <comment ref="B3" authorId="0" shapeId="0">
      <text>
        <t>Measurement
Required. What is being limited.</t>
      </text>
    </comment>
    <comment ref="C3" authorId="0" shapeId="0">
      <text>
        <t>Min
Lowest acceptable value. Blank if there is no lower limit.</t>
      </text>
    </comment>
    <comment ref="D3" authorId="0" shapeId="0">
      <text>
        <t>Target
What you aim for. Blank if only the limits matter.</t>
      </text>
    </comment>
    <comment ref="E3" authorId="0" shapeId="0">
      <text>
        <t>Max
Highest acceptable value. Blank if there is no upper limit.</t>
      </text>
    </comment>
    <comment ref="F3" authorId="0" shapeId="0">
      <text>
        <t>Unit
Required. Same unit as the measurement.</t>
      </text>
    </comment>
    <comment ref="G3" authorId="0" shapeId="0">
      <text>
        <t>Stops release
yes for a critical control point — a limit whose breach means the product cannot be sold, whatever else is true of it. Breaching one raises a deviation and puts the lot on hold automatically. Leave blank for an ordinary quality limit.</t>
      </text>
    </comment>
    <comment ref="H3" authorId="0" shapeId="0">
      <text>
        <t>In force from
Required. The date this became true. A limit widened last week did not apply to last month's production, and nothing is restated backwards.</t>
      </text>
    </comment>
    <comment ref="I3" authorId="0" shapeId="0">
      <text>
        <t>Set by
Optional. Where the limit comes from — HACCP plan revision, customer specification, legal metrology.</t>
      </text>
    </comment>
    <comment ref="J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5.xml><?xml version="1.0" encoding="utf-8"?>
<comments xmlns="http://schemas.openxmlformats.org/spreadsheetml/2006/main">
  <authors>
    <author>Pulse</author>
  </authors>
  <commentList>
    <comment ref="A3" authorId="0" shapeId="0">
      <text>
        <t>Where
Required. The line, machine or cold room this applies to.</t>
      </text>
    </comment>
    <comment ref="B3" authorId="0" shapeId="0">
      <text>
        <t>Measurement
Required. What is being limited.</t>
      </text>
    </comment>
    <comment ref="C3" authorId="0" shapeId="0">
      <text>
        <t>Min
Lowest acceptable value.</t>
      </text>
    </comment>
    <comment ref="D3" authorId="0" shapeId="0">
      <text>
        <t>Target
What you aim for.</t>
      </text>
    </comment>
    <comment ref="E3" authorId="0" shapeId="0">
      <text>
        <t>Max
Highest acceptable value.</t>
      </text>
    </comment>
    <comment ref="F3" authorId="0" shapeId="0">
      <text>
        <t>Unit
Required. Same unit as the measurement.</t>
      </text>
    </comment>
    <comment ref="G3" authorId="0" shapeId="0">
      <text>
        <t>In force from
Required. The date this became true.</t>
      </text>
    </comment>
    <comment ref="H3" authorId="0" shapeId="0">
      <text>
        <t>Set by
Optional. Chill chain policy, hall standard, customer requirement.</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6.xml><?xml version="1.0" encoding="utf-8"?>
<comments xmlns="http://schemas.openxmlformats.org/spreadsheetml/2006/main">
  <authors>
    <author>Pulse</author>
  </authors>
  <commentList>
    <comment ref="A3" authorId="0" shapeId="0">
      <text>
        <t>Material
Required. Which material.</t>
      </text>
    </comment>
    <comment ref="B3" authorId="0" shapeId="0">
      <text>
        <t>Measurement
Required. What is being limited.</t>
      </text>
    </comment>
    <comment ref="C3" authorId="0" shapeId="0">
      <text>
        <t>Min
Lowest acceptable value.</t>
      </text>
    </comment>
    <comment ref="D3" authorId="0" shapeId="0">
      <text>
        <t>Max
Highest acceptable value.</t>
      </text>
    </comment>
    <comment ref="E3" authorId="0" shapeId="0">
      <text>
        <t>Unit
Required. Same unit as the measurement.</t>
      </text>
    </comment>
    <comment ref="F3" authorId="0" shapeId="0">
      <text>
        <t>In force from
Required. The date this became true.</t>
      </text>
    </comment>
    <comment ref="G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7.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8.xml><?xml version="1.0" encoding="utf-8"?>
<comments xmlns="http://schemas.openxmlformats.org/spreadsheetml/2006/main">
  <authors>
    <author>Pulse</author>
  </authors>
  <commentList>
    <comment ref="A3" authorId="0" shapeId="0">
      <text>
        <t>After this product
Required. What just finished.</t>
      </text>
    </comment>
    <comment ref="B3" authorId="0" shapeId="0">
      <text>
        <t>Before this product
Required. What runs next.</t>
      </text>
    </comment>
    <comment ref="C3" authorId="0" shapeId="0">
      <text>
        <t>Cleaning regime
Required. Which clean the pair requires.</t>
      </text>
    </comment>
    <comment ref="D3" authorId="0" shapeId="0">
      <text>
        <t>Expected minutes
Required. How long it should take.</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19.xml><?xml version="1.0" encoding="utf-8"?>
<comments xmlns="http://schemas.openxmlformats.org/spreadsheetml/2006/main">
  <authors>
    <author>Pulse</author>
  </authors>
  <commentList>
    <comment ref="A3" authorId="0" shapeId="0">
      <text>
        <t>Code
Required. Your code.</t>
      </text>
    </comment>
    <comment ref="B3" authorId="0" shapeId="0">
      <text>
        <t>Name
Required. What people call it.</t>
      </text>
    </comment>
    <comment ref="C3" authorId="0" shapeId="0">
      <text>
        <t>Belongs to
The family this reason sits under. Leave blank for a family itself. Families matter as much as the individual causes — a pattern is rarely six complaints about one nozzle, it is foreign-body complaints tripling after a sieve change.</t>
      </text>
    </comment>
    <comment ref="D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0.xml><?xml version="1.0" encoding="utf-8"?>
<comments xmlns="http://schemas.openxmlformats.org/spreadsheetml/2006/main">
  <authors>
    <author>Pulse</author>
  </authors>
  <commentList>
    <comment ref="A3" authorId="0" shapeId="0">
      <text>
        <t>Type
Required. Which type this value belongs to. The four here match the columns of the same name on the Materials and Products tabs — add a new type and it becomes a column you can fill in.</t>
      </text>
    </comment>
    <comment ref="B3" authorId="0" shapeId="0">
      <text>
        <t>Applies to
Required. materials or products.</t>
      </text>
    </comment>
    <comment ref="C3" authorId="0" shapeId="0">
      <text>
        <t>Code
Required. Your code for the value.</t>
      </text>
    </comment>
    <comment ref="D3" authorId="0" shapeId="0">
      <text>
        <t>Name
Required. What people call it.</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1.xml><?xml version="1.0" encoding="utf-8"?>
<comments xmlns="http://schemas.openxmlformats.org/spreadsheetml/2006/main">
  <authors>
    <author>Pulse</author>
  </authors>
  <commentList>
    <comment ref="A3" authorId="0" shapeId="0">
      <text>
        <t>Lot
Required. The delivery or lot number.</t>
      </text>
    </comment>
    <comment ref="B3" authorId="0" shapeId="0">
      <text>
        <t>Material
Required. What it is.</t>
      </text>
    </comment>
    <comment ref="C3" authorId="0" shapeId="0">
      <text>
        <t>Supplier
Required. Who it came from.</t>
      </text>
    </comment>
    <comment ref="D3" authorId="0" shapeId="0">
      <text>
        <t>Received
Required. When it arrived.</t>
      </text>
    </comment>
    <comment ref="E3" authorId="0" shapeId="0">
      <text>
        <t>Expires
Optional.</t>
      </text>
    </comment>
    <comment ref="F3" authorId="0" shapeId="0">
      <text>
        <t>Quantity
Required. How much arrived.</t>
      </text>
    </comment>
    <comment ref="G3" authorId="0" shapeId="0">
      <text>
        <t>Unit
Required. kg, l, pcs.</t>
      </text>
    </comment>
    <comment ref="H3" authorId="0" shapeId="0">
      <text>
        <t>Analysed at
When the analysis below was taken. Leave the analysis columns blank if you do not test incoming material.</t>
      </text>
    </comment>
    <comment ref="I3" authorId="0" shapeId="0">
      <text>
        <t>Fat
%. These four are the tests declared for your materials — add or remove columns to match what you actually measure.</t>
      </text>
    </comment>
    <comment ref="J3" authorId="0" shapeId="0">
      <text>
        <t>Protein
%</t>
      </text>
    </comment>
    <comment ref="K3" authorId="0" shapeId="0">
      <text>
        <t xml:space="preserve">pH
</t>
      </text>
    </comment>
    <comment ref="L3" authorId="0" shapeId="0">
      <text>
        <t>Brix
Bx</t>
      </text>
    </comment>
    <comment ref="M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2.xml><?xml version="1.0" encoding="utf-8"?>
<comments xmlns="http://schemas.openxmlformats.org/spreadsheetml/2006/main">
  <authors>
    <author>Pulse</author>
  </authors>
  <commentList>
    <comment ref="A3" authorId="0" shapeId="0">
      <text>
        <t>Batch
Required. Your batch number. It becomes the lot number of what the batch produced.</t>
      </text>
    </comment>
    <comment ref="B3" authorId="0" shapeId="0">
      <text>
        <t>Tank
Required. Where it was made.</t>
      </text>
    </comment>
    <comment ref="C3" authorId="0" shapeId="0">
      <text>
        <t>Recipe
Which recipe.</t>
      </text>
    </comment>
    <comment ref="D3" authorId="0" shapeId="0">
      <text>
        <t>Start
Required. When it began.</t>
      </text>
    </comment>
    <comment ref="E3" authorId="0" shapeId="0">
      <text>
        <t>End
When it finished. Leave blank while it is still going, and fill it in later.</t>
      </text>
    </comment>
    <comment ref="F3" authorId="0" shapeId="0">
      <text>
        <t>Quantity
How much it produced.</t>
      </text>
    </comment>
    <comment ref="G3" authorId="0" shapeId="0">
      <text>
        <t>Unit
kg, l.</t>
      </text>
    </comment>
    <comment ref="H3" authorId="0" shapeId="0">
      <text>
        <t>Expires
Leave blank and it is worked out from the product's shelf life.</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3.xml><?xml version="1.0" encoding="utf-8"?>
<comments xmlns="http://schemas.openxmlformats.org/spreadsheetml/2006/main">
  <authors>
    <author>Pulse</author>
  </authors>
  <commentList>
    <comment ref="A3" authorId="0" shapeId="0">
      <text>
        <t>Run
Required. Your run number.</t>
      </text>
    </comment>
    <comment ref="B3" authorId="0" shapeId="0">
      <text>
        <t>Line
Required. Which line.</t>
      </text>
    </comment>
    <comment ref="C3" authorId="0" shapeId="0">
      <text>
        <t>Product
Required. What was made.</t>
      </text>
    </comment>
    <comment ref="D3" authorId="0" shapeId="0">
      <text>
        <t>Recipe
Which recipe version.</t>
      </text>
    </comment>
    <comment ref="E3" authorId="0" shapeId="0">
      <text>
        <t>Shift
Which shift.</t>
      </text>
    </comment>
    <comment ref="F3" authorId="0" shapeId="0">
      <text>
        <t>Crew
Which crew.</t>
      </text>
    </comment>
    <comment ref="G3" authorId="0" shapeId="0">
      <text>
        <t>From bulk lots
Which bulk lots it drew on, separated by semicolons. This is what carries the tank's composition onto the run.</t>
      </text>
    </comment>
    <comment ref="H3" authorId="0" shapeId="0">
      <text>
        <t>Planned quantity
How many you meant to make, in the product's own unit. Without it, output can be counted but nothing can be said about what was lost — a slow shift and a short order look identical.</t>
      </text>
    </comment>
    <comment ref="I3" authorId="0" shapeId="0">
      <text>
        <t>Start
Required. When it began.</t>
      </text>
    </comment>
    <comment ref="J3" authorId="0" shapeId="0">
      <text>
        <t>End
When it finished. Leave blank while it is still running, and fill it in later — the row is matched on the run number, so nothing is duplicated.</t>
      </text>
    </comment>
    <comment ref="K3" authorId="0" shapeId="0">
      <text>
        <t>How it ended
completed or cancelled. A cancelled run used less of everything because it stopped early, not because it ran well, so the two are never compared with each other.</t>
      </text>
    </comment>
    <comment ref="L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4.xml><?xml version="1.0" encoding="utf-8"?>
<comments xmlns="http://schemas.openxmlformats.org/spreadsheetml/2006/main">
  <authors>
    <author>Pulse</author>
  </authors>
  <commentList>
    <comment ref="A3" authorId="0" shapeId="0">
      <text>
        <t>Used by
Required. The run, batch or clean this plan is for.</t>
      </text>
    </comment>
    <comment ref="B3" authorId="0" shapeId="0">
      <text>
        <t>Category
Required. What kind of resource.</t>
      </text>
    </comment>
    <comment ref="C3" authorId="0" shapeId="0">
      <text>
        <t>Item
Required. Which material, cost line, crew or machine. Name it — a plan for 12,000 kg of 'ingredient' cannot be compared with anything, because the ingredients on a run are not all measured in the same unit and adding them up is meaningless.</t>
      </text>
    </comment>
    <comment ref="D3" authorId="0" shapeId="0">
      <text>
        <t>Quantity
Required. How much was planned.</t>
      </text>
    </comment>
    <comment ref="E3" authorId="0" shapeId="0">
      <text>
        <t>Unit
Required. The item's own unit — kg, l, pcs, kWh, h.</t>
      </text>
    </comment>
    <comment ref="F3" authorId="0" shapeId="0">
      <text>
        <t>Unit value
Planned cost per unit.</t>
      </text>
    </comment>
    <comment ref="G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5.xml><?xml version="1.0" encoding="utf-8"?>
<comments xmlns="http://schemas.openxmlformats.org/spreadsheetml/2006/main">
  <authors>
    <author>Pulse</author>
  </authors>
  <commentList>
    <comment ref="A3" authorId="0" shapeId="0">
      <text>
        <t>Run
Required. Which run.</t>
      </text>
    </comment>
    <comment ref="B3" authorId="0" shapeId="0">
      <text>
        <t>Stage
Required. Fill, cap, label, case.</t>
      </text>
    </comment>
    <comment ref="C3" authorId="0" shapeId="0">
      <text>
        <t>Machine
Required. Which machine ran this stage.</t>
      </text>
    </comment>
    <comment ref="D3" authorId="0" shapeId="0">
      <text>
        <t>Start
Required. When the stage began.</t>
      </text>
    </comment>
    <comment ref="E3" authorId="0" shapeId="0">
      <text>
        <t>End
When it ended.</t>
      </text>
    </comment>
    <comment ref="F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6.xml><?xml version="1.0" encoding="utf-8"?>
<comments xmlns="http://schemas.openxmlformats.org/spreadsheetml/2006/main">
  <authors>
    <author>Pulse</author>
  </authors>
  <commentList>
    <comment ref="A3" authorId="0" shapeId="0">
      <text>
        <t>Clean
Required. Your code for it.</t>
      </text>
    </comment>
    <comment ref="B3" authorId="0" shapeId="0">
      <text>
        <t>Line
Required. Which line.</t>
      </text>
    </comment>
    <comment ref="C3" authorId="0" shapeId="0">
      <text>
        <t>Cleaning regime
Required. Which kind of clean.</t>
      </text>
    </comment>
    <comment ref="D3" authorId="0" shapeId="0">
      <text>
        <t>Product before
Required. What ran before it.</t>
      </text>
    </comment>
    <comment ref="E3" authorId="0" shapeId="0">
      <text>
        <t>Product after
Required. What runs after it. With the one before, this is what makes the clean a changeover rather than just downtime.</t>
      </text>
    </comment>
    <comment ref="F3" authorId="0" shapeId="0">
      <text>
        <t>Start
Required. When it began.</t>
      </text>
    </comment>
    <comment ref="G3" authorId="0" shapeId="0">
      <text>
        <t>End
When it finished.</t>
      </text>
    </comment>
    <comment ref="H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7.xml><?xml version="1.0" encoding="utf-8"?>
<comments xmlns="http://schemas.openxmlformats.org/spreadsheetml/2006/main">
  <authors>
    <author>Pulse</author>
  </authors>
  <commentList>
    <comment ref="A3" authorId="0" shapeId="0">
      <text>
        <t>Hold
Required. Your hold number.</t>
      </text>
    </comment>
    <comment ref="B3" authorId="0" shapeId="0">
      <text>
        <t>Lot
Required. Which finished lot is held.</t>
      </text>
    </comment>
    <comment ref="C3" authorId="0" shapeId="0">
      <text>
        <t>Product
Which product.</t>
      </text>
    </comment>
    <comment ref="D3" authorId="0" shapeId="0">
      <text>
        <t>Reason
Required. Why it was held.</t>
      </text>
    </comment>
    <comment ref="E3" authorId="0" shapeId="0">
      <text>
        <t>Quantity
Required. How much is held.</t>
      </text>
    </comment>
    <comment ref="F3" authorId="0" shapeId="0">
      <text>
        <t>Unit
Required. pcs, kg.</t>
      </text>
    </comment>
    <comment ref="G3" authorId="0" shapeId="0">
      <text>
        <t>Start
Required. When it went on hold.</t>
      </text>
    </comment>
    <comment ref="H3" authorId="0" shapeId="0">
      <text>
        <t>End
When it was decided. Leave blank while it is still held.</t>
      </text>
    </comment>
    <comment ref="I3" authorId="0" shapeId="0">
      <text>
        <t>Decision
released, downgraded or scrapped.</t>
      </text>
    </comment>
    <comment ref="J3" authorId="0" shapeId="0">
      <text>
        <t>Recovered unit value
What a downgraded unit was actually worth, as agreed at the time. Working it out from a price list later restates the loss every time the list changes.</t>
      </text>
    </comment>
    <comment ref="K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8.xml><?xml version="1.0" encoding="utf-8"?>
<comments xmlns="http://schemas.openxmlformats.org/spreadsheetml/2006/main">
  <authors>
    <author>Pulse</author>
  </authors>
  <commentList>
    <comment ref="A3" authorId="0" shapeId="0">
      <text>
        <t>Used by
Required. The run, batch or clean that used it.</t>
      </text>
    </comment>
    <comment ref="B3" authorId="0" shapeId="0">
      <text>
        <t>Category
Required. What kind of resource.</t>
      </text>
    </comment>
    <comment ref="C3" authorId="0" shapeId="0">
      <text>
        <t>Item
Required. The material, cost line, crew or machine.</t>
      </text>
    </comment>
    <comment ref="D3" authorId="0" shapeId="0">
      <text>
        <t>Lot
Which delivery it came from. Leave blank for anything not lot tracked — water, electricity, steam.</t>
      </text>
    </comment>
    <comment ref="E3" authorId="0" shapeId="0">
      <text>
        <t>Quantity
Required. How much.</t>
      </text>
    </comment>
    <comment ref="F3" authorId="0" shapeId="0">
      <text>
        <t>Unit
Required. kg, l, pcs, kWh, h.</t>
      </text>
    </comment>
    <comment ref="G3" authorId="0" shapeId="0">
      <text>
        <t>Unit value
Cost per unit at the time it was used.</t>
      </text>
    </comment>
    <comment ref="H3" authorId="0" shapeId="0">
      <text>
        <t>At
When. Approximate is fine.</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29.xml><?xml version="1.0" encoding="utf-8"?>
<comments xmlns="http://schemas.openxmlformats.org/spreadsheetml/2006/main">
  <authors>
    <author>Pulse</author>
  </authors>
  <commentList>
    <comment ref="A3" authorId="0" shapeId="0">
      <text>
        <t>Run
Required. Which run.</t>
      </text>
    </comment>
    <comment ref="B3" authorId="0" shapeId="0">
      <text>
        <t>Kind
Required. What came off.</t>
      </text>
    </comment>
    <comment ref="C3" authorId="0" shapeId="0">
      <text>
        <t>Quantity
Required. How many. Record what you counted when you counted it — never a shift total.</t>
      </text>
    </comment>
    <comment ref="D3" authorId="0" shapeId="0">
      <text>
        <t>Unit
Required. pcs, kg.</t>
      </text>
    </comment>
    <comment ref="E3" authorId="0" shapeId="0">
      <text>
        <t>At
Required. When it was counted.</t>
      </text>
    </comment>
    <comment ref="F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0.xml><?xml version="1.0" encoding="utf-8"?>
<comments xmlns="http://schemas.openxmlformats.org/spreadsheetml/2006/main">
  <authors>
    <author>Pulse</author>
  </authors>
  <commentList>
    <comment ref="A3" authorId="0" shapeId="0">
      <text>
        <t>Measured on
Required. The line, machine, tank, run, batch or lot it was measured on. Exactly one — a reading naming two would be counted twice.</t>
      </text>
    </comment>
    <comment ref="B3" authorId="0" shapeId="0">
      <text>
        <t>Measurement
Required. What was measured.</t>
      </text>
    </comment>
    <comment ref="C3" authorId="0" shapeId="0">
      <text>
        <t>Value
Required. The number, or yes/no, or the category.</t>
      </text>
    </comment>
    <comment ref="D3" authorId="0" shapeId="0">
      <text>
        <t>Sensor or head
Which probe or filling head it came from. Leave blank if there is only one. Two probes on one machine without this overwrite each other, and nothing tells you.</t>
      </text>
    </comment>
    <comment ref="E3" authorId="0" shapeId="0">
      <text>
        <t>At
Required. When it was taken.</t>
      </text>
    </comment>
    <comment ref="F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1.xml><?xml version="1.0" encoding="utf-8"?>
<comments xmlns="http://schemas.openxmlformats.org/spreadsheetml/2006/main">
  <authors>
    <author>Pulse</author>
  </authors>
  <commentList>
    <comment ref="A3" authorId="0" shapeId="0">
      <text>
        <t>Machine
Required. Which machine.</t>
      </text>
    </comment>
    <comment ref="B3" authorId="0" shapeId="0">
      <text>
        <t>Setting
Required. Which setting.</t>
      </text>
    </comment>
    <comment ref="C3" authorId="0" shapeId="0">
      <text>
        <t>Value
Required. What it was set to.</t>
      </text>
    </comment>
    <comment ref="D3" authorId="0" shapeId="0">
      <text>
        <t>At
Required. When it was changed.</t>
      </text>
    </comment>
    <comment ref="E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2.xml><?xml version="1.0" encoding="utf-8"?>
<comments xmlns="http://schemas.openxmlformats.org/spreadsheetml/2006/main">
  <authors>
    <author>Pulse</author>
  </authors>
  <commentList>
    <comment ref="A3" authorId="0" shapeId="0">
      <text>
        <t>Line
Required. Which line.</t>
      </text>
    </comment>
    <comment ref="B3" authorId="0" shapeId="0">
      <text>
        <t>State
Required. What it was doing. Never write running — the gaps between these rows are running, and they are filled in for you.</t>
      </text>
    </comment>
    <comment ref="C3" authorId="0" shapeId="0">
      <text>
        <t>Reason
Why. Pick a reason code or write it in.</t>
      </text>
    </comment>
    <comment ref="D3" authorId="0" shapeId="0">
      <text>
        <t>Told by
Required. equipment if a sensor raised it, operator if a person wrote it down. The same word from a sensor and from a clipboard are different grades of evidence and are never mixed.</t>
      </text>
    </comment>
    <comment ref="E3" authorId="0" shapeId="0">
      <text>
        <t>From
Required. When it started.</t>
      </text>
    </comment>
    <comment ref="F3" authorId="0" shapeId="0">
      <text>
        <t>To
When it ended. Leave blank if it is still going — that closes whatever was open at From.</t>
      </text>
    </comment>
    <comment ref="G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3.xml><?xml version="1.0" encoding="utf-8"?>
<comments xmlns="http://schemas.openxmlformats.org/spreadsheetml/2006/main">
  <authors>
    <author>Pulse</author>
  </authors>
  <commentList>
    <comment ref="A3" authorId="0" shapeId="0">
      <text>
        <t>Type
Required. What happened.</t>
      </text>
    </comment>
    <comment ref="B3" authorId="0" shapeId="0">
      <text>
        <t>Line
Required. Which line.</t>
      </text>
    </comment>
    <comment ref="C3" authorId="0" shapeId="0">
      <text>
        <t>Run
Which run, if it belongs to one.</t>
      </text>
    </comment>
    <comment ref="D3" authorId="0" shapeId="0">
      <text>
        <t>Batch
Which batch instead, if it happened during a bulk make. A flush during a cook belongs to the batch; a trim during filling belongs to the run. Fill one, not both.</t>
      </text>
    </comment>
    <comment ref="E3" authorId="0" shapeId="0">
      <text>
        <t>Reason
Why.</t>
      </text>
    </comment>
    <comment ref="F3" authorId="0" shapeId="0">
      <text>
        <t>Severity
1 to 5, if you grade them.</t>
      </text>
    </comment>
    <comment ref="G3" authorId="0" shapeId="0">
      <text>
        <t>At
Required. When.</t>
      </text>
    </comment>
    <comment ref="H3" authorId="0" shapeId="0">
      <text>
        <t>End
Optional, if it lasted.</t>
      </text>
    </comment>
    <comment ref="I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4.xml><?xml version="1.0" encoding="utf-8"?>
<comments xmlns="http://schemas.openxmlformats.org/spreadsheetml/2006/main">
  <authors>
    <author>Pulse</author>
  </authors>
  <commentList>
    <comment ref="A3" authorId="0" shapeId="0">
      <text>
        <t>Work order
Required. Your work order number.</t>
      </text>
    </comment>
    <comment ref="B3" authorId="0" shapeId="0">
      <text>
        <t>Equipment
Required. What was worked on. Name the part rather than the machine where you can — a nozzle wears out at its own rate, and that is only visible if the nozzle is named.</t>
      </text>
    </comment>
    <comment ref="C3" authorId="0" shapeId="0">
      <text>
        <t>Fixing a failure
Required. yes if something had broken or was about to. no if it was routine servicing. Do not guess this one: it decides whether the job counts against the life of the part.</t>
      </text>
    </comment>
    <comment ref="D3" authorId="0" shapeId="0">
      <text>
        <t>Reason
Why the work was done.</t>
      </text>
    </comment>
    <comment ref="E3" authorId="0" shapeId="0">
      <text>
        <t>Planned start
When it was meant to start. Leave both planned columns blank if the job was unplanned — that is how unplanned work is recorded, and there is deliberately no separate box to tick.</t>
      </text>
    </comment>
    <comment ref="F3" authorId="0" shapeId="0">
      <text>
        <t>Planned end
When it was meant to finish.</t>
      </text>
    </comment>
    <comment ref="G3" authorId="0" shapeId="0">
      <text>
        <t>Start
Required. When it actually started.</t>
      </text>
    </comment>
    <comment ref="H3" authorId="0" shapeId="0">
      <text>
        <t>End
When it actually finished. Leave blank while it is still open.</t>
      </text>
    </comment>
    <comment ref="I3" authorId="0" shapeId="0">
      <text>
        <t>Line state
If the line stopped for this, which state to write on the Line time tab. Blank if the line was already down for something else.</t>
      </text>
    </comment>
    <comment ref="J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5.xml><?xml version="1.0" encoding="utf-8"?>
<comments xmlns="http://schemas.openxmlformats.org/spreadsheetml/2006/main">
  <authors>
    <author>Pulse</author>
  </authors>
  <commentList>
    <comment ref="A3" authorId="0" shapeId="0">
      <text>
        <t>Work order
Required. Which one.</t>
      </text>
    </comment>
    <comment ref="B3" authorId="0" shapeId="0">
      <text>
        <t>Category
Required. What kind of resource.</t>
      </text>
    </comment>
    <comment ref="C3" authorId="0" shapeId="0">
      <text>
        <t>Item
Required. The part, crew, machine or cost line.</t>
      </text>
    </comment>
    <comment ref="D3" authorId="0" shapeId="0">
      <text>
        <t>Lot
Which delivery the part came from.</t>
      </text>
    </comment>
    <comment ref="E3" authorId="0" shapeId="0">
      <text>
        <t>Planned quantity
What the job called for. Blank for unplanned work — there was no plan to overrun.</t>
      </text>
    </comment>
    <comment ref="F3" authorId="0" shapeId="0">
      <text>
        <t>Actual quantity
What it really used.</t>
      </text>
    </comment>
    <comment ref="G3" authorId="0" shapeId="0">
      <text>
        <t>Unit
Required. pcs, h, job.</t>
      </text>
    </comment>
    <comment ref="H3" authorId="0" shapeId="0">
      <text>
        <t>Unit value
Cost per unit.</t>
      </text>
    </comment>
    <comment ref="I3" authorId="0" shapeId="0">
      <text>
        <t>At
When the work finished.</t>
      </text>
    </comment>
    <comment ref="J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comments/comment36.xml><?xml version="1.0" encoding="utf-8"?>
<comments xmlns="http://schemas.openxmlformats.org/spreadsheetml/2006/main">
  <authors>
    <author>Pulse</author>
  </authors>
  <commentList>
    <comment ref="A3" authorId="0" shapeId="0">
      <text>
        <t>Complaint
Required. Your complaint number.</t>
      </text>
    </comment>
    <comment ref="B3" authorId="0" shapeId="0">
      <text>
        <t>Customer
Required. Who complained.</t>
      </text>
    </comment>
    <comment ref="C3" authorId="0" shapeId="0">
      <text>
        <t>Lot
Required. Which finished lot. This is what traces it back to the run that made it.</t>
      </text>
    </comment>
    <comment ref="D3" authorId="0" shapeId="0">
      <text>
        <t>Product
Required. Which product.</t>
      </text>
    </comment>
    <comment ref="E3" authorId="0" shapeId="0">
      <text>
        <t>Reason
Required. What the customer said.</t>
      </text>
    </comment>
    <comment ref="F3" authorId="0" shapeId="0">
      <text>
        <t>Detail
In their words.</t>
      </text>
    </comment>
    <comment ref="G3" authorId="0" shapeId="0">
      <text>
        <t>Quantity
How much was affected.</t>
      </text>
    </comment>
    <comment ref="H3" authorId="0" shapeId="0">
      <text>
        <t>Unit
pcs, kg.</t>
      </text>
    </comment>
    <comment ref="I3" authorId="0" shapeId="0">
      <text>
        <t>Severity
1 to 5.</t>
      </text>
    </comment>
    <comment ref="J3" authorId="0" shapeId="0">
      <text>
        <t>When customer noticed
Required. When they experienced it. A defect found in week three of shelf life is a different defect from one found on day one.</t>
      </text>
    </comment>
    <comment ref="K3" authorId="0" shapeId="0">
      <text>
        <t>When we heard
Required. When it reached the plant. The gap between these two columns is how long it took to find out, and that matters on its own.</t>
      </text>
    </comment>
    <comment ref="L3" authorId="0" shapeId="0">
      <text>
        <t>Outcome
upheld, rejected or goodwill.</t>
      </text>
    </comment>
    <comment ref="M3" authorId="0" shapeId="0">
      <text>
        <t>Settlement
credit, replacement, collection or none.</t>
      </text>
    </comment>
    <comment ref="N3" authorId="0" shapeId="0">
      <text>
        <t>Cost
What it cost you.</t>
      </text>
    </comment>
    <comment ref="O3" authorId="0" shapeId="0">
      <text>
        <t>Cause found
What the investigation actually found. Deliberately a separate column from what the customer said — the gap between the two is worth measuring.</t>
      </text>
    </comment>
    <comment ref="P3" authorId="0" shapeId="0">
      <text>
        <t>Settled at
When it was closed.</t>
      </text>
    </comment>
    <comment ref="Q3" authorId="0" shapeId="0">
      <text>
        <t>Delete?
Optional. Put yes to retract this row — it never happened. Re-upload and it is withdrawn in Pulse. Leave blank otherwise.
This is not how you correct a value: change the cell and re-upload, and the correction is recorded with the old value kept. And it is not how you record a run that was called off — that is a real run with truncated consumption, so give it an ending instead.
Simply deleting the row from this file does nothing. An absent row means this file does not mention it, not that it is gone.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sheet1.xml><?xml version="1.0" encoding="utf-8"?>
<worksheet xmlns="http://schemas.openxmlformats.org/spreadsheetml/2006/main">
  <sheetPr>
    <tabColor rgb="00000000"/>
    <outlinePr summaryBelow="1" summaryRight="1"/>
    <pageSetUpPr/>
  </sheetPr>
  <dimension ref="A1:C24"/>
  <sheetViews>
    <sheetView workbookViewId="0">
      <selection activeCell="A1" sqref="A1"/>
    </sheetView>
  </sheetViews>
  <sheetFormatPr baseColWidth="8" defaultRowHeight="15"/>
  <cols>
    <col width="26" customWidth="1" min="1" max="1"/>
    <col width="108" customWidth="1" min="2" max="2"/>
    <col width="74" customWidth="1" min="3" max="3"/>
  </cols>
  <sheetData>
    <row r="1">
      <c r="A1" s="1" t="inlineStr">
        <is>
          <t>How to fill this in</t>
        </is>
      </c>
    </row>
    <row r="3">
      <c r="A3" s="2" t="inlineStr">
        <is>
          <t>Blue heading</t>
        </is>
      </c>
      <c r="B3" s="3" t="inlineStr">
        <is>
          <t>Required. The row is rejected without it.</t>
        </is>
      </c>
    </row>
    <row r="4">
      <c r="A4" s="2" t="inlineStr">
        <is>
          <t>Grey heading</t>
        </is>
      </c>
      <c r="B4" s="3" t="inlineStr">
        <is>
          <t>Optional. Leave it blank if it does not apply to you — blank means you are not stating it, and nothing is assumed.</t>
        </is>
      </c>
    </row>
    <row r="5">
      <c r="A5" s="2" t="inlineStr">
        <is>
          <t>Hover a heading</t>
        </is>
      </c>
      <c r="B5" s="3" t="inlineStr">
        <is>
          <t>Every column explains itself in a comment. Hover over the heading to read it.</t>
        </is>
      </c>
    </row>
    <row r="6">
      <c r="A6" s="2" t="inlineStr">
        <is>
          <t>Blue tabs</t>
        </is>
      </c>
      <c r="B6" s="3" t="inlineStr">
        <is>
          <t>Set up once, when you start. Everything else picks its codes from these.</t>
        </is>
      </c>
    </row>
    <row r="7">
      <c r="A7" s="2" t="inlineStr">
        <is>
          <t>Green tabs</t>
        </is>
      </c>
      <c r="B7" s="3" t="inlineStr">
        <is>
          <t>Production. Fill these in as you go, or upload a period at a time.</t>
        </is>
      </c>
    </row>
    <row r="8">
      <c r="A8" s="2" t="inlineStr">
        <is>
          <t>Amber tabs</t>
        </is>
      </c>
      <c r="B8" s="3" t="inlineStr">
        <is>
          <t>Maintenance and quality.</t>
        </is>
      </c>
    </row>
    <row r="9">
      <c r="A9" s="2" t="inlineStr">
        <is>
          <t>Always pick, never type</t>
        </is>
      </c>
      <c r="B9" s="3" t="inlineStr">
        <is>
          <t>Anywhere you name something, there is a dropdown. The codes are your own — the same ones your ERP or MES uses. Add a line on a blue tab and it appears in the dropdowns straight away.</t>
        </is>
      </c>
    </row>
    <row r="10">
      <c r="A10" s="2" t="inlineStr">
        <is>
          <t>Dates and times</t>
        </is>
      </c>
      <c r="B10" s="3" t="inlineStr">
        <is>
          <t>Your own clock, the time on the wall in the plant. Type it however you normally would and let Excel format it — 10.8.2026 22:00. Never work anything out in UTC; that is done for you when the file is read, using the time zone below.</t>
        </is>
      </c>
    </row>
    <row r="11">
      <c r="A11" s="2" t="inlineStr">
        <is>
          <t>One clock per file</t>
        </is>
      </c>
      <c r="B11" s="3" t="inlineStr">
        <is>
          <t>Every time in this file is read as being in that one time zone. If your plants are in different zones, send one file per zone rather than mixing them.</t>
        </is>
      </c>
    </row>
    <row r="12">
      <c r="A12" s="2" t="inlineStr">
        <is>
          <t>The hour that repeats</t>
        </is>
      </c>
      <c r="B12" s="3" t="inlineStr">
        <is>
          <t>On the night the clocks go back, 02:30 happens twice. It is read as the first one. On the night they go forward, times in the hour that does not exist are rejected rather than guessed.</t>
        </is>
      </c>
    </row>
    <row r="13">
      <c r="A13" s="2" t="inlineStr">
        <is>
          <t>Order does not matter</t>
        </is>
      </c>
      <c r="B13" s="3" t="inlineStr">
        <is>
          <t>Rows may be in any order. What is rejected is two rows claiming the same equipment at the same instant.</t>
        </is>
      </c>
    </row>
    <row r="14">
      <c r="A14" s="2" t="inlineStr">
        <is>
          <t>Re-uploading is safe</t>
        </is>
      </c>
      <c r="B14" s="3" t="inlineStr">
        <is>
          <t>Rows are matched on their code. The same file twice changes nothing; a changed value is recorded as a correction with the old one kept.</t>
        </is>
      </c>
    </row>
    <row r="15">
      <c r="A15" s="2" t="inlineStr">
        <is>
          <t>To remove a row</t>
        </is>
      </c>
      <c r="B15" s="3" t="inlineStr">
        <is>
          <t>Put yes in the Delete? column and re-upload. Deleting the row from the file does nothing — an absent row means this file does not mention it, not that it is gone.</t>
        </is>
      </c>
    </row>
    <row r="16">
      <c r="A16" s="2" t="inlineStr">
        <is>
          <t>Fill in this order</t>
        </is>
      </c>
      <c r="B16" s="3" t="inlineStr">
        <is>
          <t>Sites, production lines, machines, tanks. Then products, recipes, materials. Then the rest.</t>
        </is>
      </c>
    </row>
    <row r="17">
      <c r="A17" s="2" t="inlineStr">
        <is>
          <t>Where the limits go</t>
        </is>
      </c>
      <c r="B17" s="3" t="inlineStr">
        <is>
          <t>Every number you expect has a tab: product limits, room and line conditions, incoming material limits, cleaning rules.</t>
        </is>
      </c>
    </row>
    <row r="18">
      <c r="A18" s="2" t="inlineStr">
        <is>
          <t>Sample data</t>
        </is>
      </c>
      <c r="B18" s="3" t="inlineStr">
        <is>
          <t>The rows shipped here are a fictional dairy in Munich and Vienna. Overwrite them.</t>
        </is>
      </c>
    </row>
    <row r="20">
      <c r="A20" s="1" t="inlineStr">
        <is>
          <t>About this file</t>
        </is>
      </c>
    </row>
    <row r="21">
      <c r="A21" s="2" t="inlineStr">
        <is>
          <t>Sent by</t>
        </is>
      </c>
      <c r="B21" s="4" t="inlineStr">
        <is>
          <t>Night shift log, line 1</t>
        </is>
      </c>
      <c r="C21" s="5" t="inlineStr">
        <is>
          <t>Your name or your system's name. Reuse the same one every time you upload.</t>
        </is>
      </c>
    </row>
    <row r="22">
      <c r="A22" s="2" t="inlineStr">
        <is>
          <t>Time zone</t>
        </is>
      </c>
      <c r="B22" s="4" t="inlineStr">
        <is>
          <t>Europe/Berlin</t>
        </is>
      </c>
      <c r="C22" s="5" t="inlineStr">
        <is>
          <t>Where the clock in this file belongs. Europe/Berlin, Europe/Ljubljana, Europe/London. Every time in the file is read as this zone and converted for you.</t>
        </is>
      </c>
    </row>
    <row r="23">
      <c r="A23" s="2" t="inlineStr">
        <is>
          <t>Period from</t>
        </is>
      </c>
      <c r="B23" s="6" t="n">
        <v>46235</v>
      </c>
      <c r="C23" s="5" t="inlineStr">
        <is>
          <t>The start of the stretch of time this file accounts for.</t>
        </is>
      </c>
    </row>
    <row r="24">
      <c r="A24" s="2" t="inlineStr">
        <is>
          <t>Period to</t>
        </is>
      </c>
      <c r="B24" s="6" t="n">
        <v>46266</v>
      </c>
      <c r="C24" s="5" t="inlineStr">
        <is>
          <t>The end of it. Stating the period is what lets a quiet week be told apart from a week nobody sent. Widen it if the file covers days with no rows.</t>
        </is>
      </c>
    </row>
  </sheetData>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C5"/>
  <sheetViews>
    <sheetView workbookViewId="0">
      <pane ySplit="3" topLeftCell="A4" activePane="bottomLeft" state="frozen"/>
      <selection pane="bottomLeft" activeCell="A1" sqref="A1"/>
    </sheetView>
  </sheetViews>
  <sheetFormatPr baseColWidth="8" defaultRowHeight="15"/>
  <cols>
    <col width="11" customWidth="1" min="1" max="1"/>
    <col width="11" customWidth="1" min="2" max="2"/>
    <col width="11" customWidth="1" min="3" max="3"/>
  </cols>
  <sheetData>
    <row r="1">
      <c r="A1" s="1" t="inlineStr">
        <is>
          <t>Your plants.</t>
        </is>
      </c>
    </row>
    <row r="3">
      <c r="A3" s="7" t="inlineStr">
        <is>
          <t>Code</t>
        </is>
      </c>
      <c r="B3" s="7" t="inlineStr">
        <is>
          <t>Name</t>
        </is>
      </c>
      <c r="C3" s="8" t="inlineStr">
        <is>
          <t>Delete?</t>
        </is>
      </c>
    </row>
    <row r="4">
      <c r="A4" t="inlineStr">
        <is>
          <t>PLT001</t>
        </is>
      </c>
      <c r="B4" t="inlineStr">
        <is>
          <t>Munich</t>
        </is>
      </c>
    </row>
    <row r="5">
      <c r="A5" t="inlineStr">
        <is>
          <t>PLT002</t>
        </is>
      </c>
      <c r="B5" t="inlineStr">
        <is>
          <t>Vienna</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3864"/>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11" customWidth="1" min="1" max="1"/>
    <col width="24" customWidth="1" min="2" max="2"/>
    <col width="11" customWidth="1" min="3" max="3"/>
    <col width="16" customWidth="1" min="4" max="4"/>
    <col width="13" customWidth="1" min="5" max="5"/>
    <col width="11" customWidth="1" min="6" max="6"/>
  </cols>
  <sheetData>
    <row r="1">
      <c r="A1" s="1" t="inlineStr">
        <is>
          <t>The lines you run. Everything is compared line against line.</t>
        </is>
      </c>
    </row>
    <row r="3">
      <c r="A3" s="7" t="inlineStr">
        <is>
          <t>Code</t>
        </is>
      </c>
      <c r="B3" s="7" t="inlineStr">
        <is>
          <t>Name</t>
        </is>
      </c>
      <c r="C3" s="7" t="inlineStr">
        <is>
          <t>Site</t>
        </is>
      </c>
      <c r="D3" s="8" t="inlineStr">
        <is>
          <t>Nominal rate</t>
        </is>
      </c>
      <c r="E3" s="8" t="inlineStr">
        <is>
          <t>Rate unit</t>
        </is>
      </c>
      <c r="F3" s="8" t="inlineStr">
        <is>
          <t>Delete?</t>
        </is>
      </c>
    </row>
    <row r="4">
      <c r="A4" t="inlineStr">
        <is>
          <t>LINE001</t>
        </is>
      </c>
      <c r="B4" t="inlineStr">
        <is>
          <t>Yogurt filling line 1</t>
        </is>
      </c>
      <c r="C4" t="inlineStr">
        <is>
          <t>PLT001</t>
        </is>
      </c>
      <c r="D4" t="n">
        <v>420</v>
      </c>
      <c r="E4" t="inlineStr">
        <is>
          <t>pcs/min</t>
        </is>
      </c>
    </row>
    <row r="5">
      <c r="A5" t="inlineStr">
        <is>
          <t>LINE003</t>
        </is>
      </c>
      <c r="B5" t="inlineStr">
        <is>
          <t>Pasteurization line 1</t>
        </is>
      </c>
      <c r="C5" t="inlineStr">
        <is>
          <t>PLT001</t>
        </is>
      </c>
    </row>
    <row r="6">
      <c r="A6" t="inlineStr">
        <is>
          <t>LINE007</t>
        </is>
      </c>
      <c r="B6" t="inlineStr">
        <is>
          <t>Yogurt filling line 7</t>
        </is>
      </c>
      <c r="C6" t="inlineStr">
        <is>
          <t>PLT002</t>
        </is>
      </c>
      <c r="D6" t="n">
        <v>260</v>
      </c>
      <c r="E6" t="inlineStr">
        <is>
          <t>pcs/min</t>
        </is>
      </c>
    </row>
  </sheetData>
  <dataValidations count="1">
    <dataValidation sqref="C4:C400" showDropDown="0" showInputMessage="0" showErrorMessage="0" allowBlank="1" errorTitle="Site" error="Pick one of the listed values." type="list">
      <formula1>=Sites_</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3864"/>
    <outlinePr summaryBelow="1" summaryRight="1"/>
    <pageSetUpPr/>
  </sheetPr>
  <dimension ref="A1:E17"/>
  <sheetViews>
    <sheetView workbookViewId="0">
      <pane ySplit="3" topLeftCell="A4" activePane="bottomLeft" state="frozen"/>
      <selection pane="bottomLeft" activeCell="A1" sqref="A1"/>
    </sheetView>
  </sheetViews>
  <sheetFormatPr baseColWidth="8" defaultRowHeight="15"/>
  <cols>
    <col width="18" customWidth="1" min="1" max="1"/>
    <col width="32" customWidth="1" min="2" max="2"/>
    <col width="14" customWidth="1" min="3" max="3"/>
    <col width="23" customWidth="1" min="4" max="4"/>
    <col width="11" customWidth="1" min="5" max="5"/>
  </cols>
  <sheetData>
    <row r="1">
      <c r="A1" s="1" t="inlineStr">
        <is>
          <t>Machines, the parts that wear out, the probes on them, and cold rooms.</t>
        </is>
      </c>
    </row>
    <row r="2">
      <c r="A2" s="5" t="inlineStr">
        <is>
          <t>A cold room is a machine too — it belongs to the site, and its temperature range goes on the Room and line conditions tab.</t>
        </is>
      </c>
    </row>
    <row r="3">
      <c r="A3" s="7" t="inlineStr">
        <is>
          <t>Code</t>
        </is>
      </c>
      <c r="B3" s="7" t="inlineStr">
        <is>
          <t>Name</t>
        </is>
      </c>
      <c r="C3" s="7" t="inlineStr">
        <is>
          <t>Belongs to</t>
        </is>
      </c>
      <c r="D3" s="8" t="inlineStr">
        <is>
          <t>Measures</t>
        </is>
      </c>
      <c r="E3" s="8" t="inlineStr">
        <is>
          <t>Delete?</t>
        </is>
      </c>
    </row>
    <row r="4">
      <c r="A4" t="inlineStr">
        <is>
          <t>EQ001</t>
        </is>
      </c>
      <c r="B4" t="inlineStr">
        <is>
          <t>Raw milk silo 1</t>
        </is>
      </c>
      <c r="C4" t="inlineStr">
        <is>
          <t>LINE003</t>
        </is>
      </c>
    </row>
    <row r="5">
      <c r="A5" t="inlineStr">
        <is>
          <t>EQ003</t>
        </is>
      </c>
      <c r="B5" t="inlineStr">
        <is>
          <t>Plate pasteurizer 1</t>
        </is>
      </c>
      <c r="C5" t="inlineStr">
        <is>
          <t>LINE003</t>
        </is>
      </c>
    </row>
    <row r="6">
      <c r="A6" t="inlineStr">
        <is>
          <t>EQ003-TT-IN</t>
        </is>
      </c>
      <c r="B6" t="inlineStr">
        <is>
          <t>Pasteurizer 1 inlet probe</t>
        </is>
      </c>
      <c r="C6" t="inlineStr">
        <is>
          <t>EQ003</t>
        </is>
      </c>
      <c r="D6" t="inlineStr">
        <is>
          <t>product-temp-inlet</t>
        </is>
      </c>
    </row>
    <row r="7">
      <c r="A7" t="inlineStr">
        <is>
          <t>EQ003-TT-HOLD</t>
        </is>
      </c>
      <c r="B7" t="inlineStr">
        <is>
          <t>Pasteurizer 1 holding tube probe</t>
        </is>
      </c>
      <c r="C7" t="inlineStr">
        <is>
          <t>EQ003</t>
        </is>
      </c>
      <c r="D7" t="inlineStr">
        <is>
          <t>product-temp-holding</t>
        </is>
      </c>
    </row>
    <row r="8">
      <c r="A8" t="inlineStr">
        <is>
          <t>EQ003-TT-HOLD-B</t>
        </is>
      </c>
      <c r="B8" t="inlineStr">
        <is>
          <t>Pasteurizer 1 holding tube probe B</t>
        </is>
      </c>
      <c r="C8" t="inlineStr">
        <is>
          <t>EQ003</t>
        </is>
      </c>
      <c r="D8" t="inlineStr">
        <is>
          <t>product-temp-holding</t>
        </is>
      </c>
    </row>
    <row r="9">
      <c r="A9" t="inlineStr">
        <is>
          <t>EQ003-TT-OUT</t>
        </is>
      </c>
      <c r="B9" t="inlineStr">
        <is>
          <t>Pasteurizer 1 outlet probe</t>
        </is>
      </c>
      <c r="C9" t="inlineStr">
        <is>
          <t>EQ003</t>
        </is>
      </c>
      <c r="D9" t="inlineStr">
        <is>
          <t>product-temp-outlet</t>
        </is>
      </c>
    </row>
    <row r="10">
      <c r="A10" t="inlineStr">
        <is>
          <t>EQ010</t>
        </is>
      </c>
      <c r="B10" t="inlineStr">
        <is>
          <t>Filler 1</t>
        </is>
      </c>
      <c r="C10" t="inlineStr">
        <is>
          <t>LINE001</t>
        </is>
      </c>
    </row>
    <row r="11">
      <c r="A11" t="inlineStr">
        <is>
          <t>EQ010-H06</t>
        </is>
      </c>
      <c r="B11" t="inlineStr">
        <is>
          <t>Filler 1 head 6</t>
        </is>
      </c>
      <c r="C11" t="inlineStr">
        <is>
          <t>EQ010</t>
        </is>
      </c>
      <c r="D11" t="inlineStr">
        <is>
          <t>fill-weight</t>
        </is>
      </c>
    </row>
    <row r="12">
      <c r="A12" t="inlineStr">
        <is>
          <t>EQ010-H07</t>
        </is>
      </c>
      <c r="B12" t="inlineStr">
        <is>
          <t>Filler 1 head 7</t>
        </is>
      </c>
      <c r="C12" t="inlineStr">
        <is>
          <t>EQ010</t>
        </is>
      </c>
      <c r="D12" t="inlineStr">
        <is>
          <t>fill-weight</t>
        </is>
      </c>
    </row>
    <row r="13">
      <c r="A13" t="inlineStr">
        <is>
          <t>EQ010-H08</t>
        </is>
      </c>
      <c r="B13" t="inlineStr">
        <is>
          <t>Filler 1 head 8</t>
        </is>
      </c>
      <c r="C13" t="inlineStr">
        <is>
          <t>EQ010</t>
        </is>
      </c>
      <c r="D13" t="inlineStr">
        <is>
          <t>fill-weight</t>
        </is>
      </c>
    </row>
    <row r="14">
      <c r="A14" t="inlineStr">
        <is>
          <t>EQ010-H06-NOZ</t>
        </is>
      </c>
      <c r="B14" t="inlineStr">
        <is>
          <t>Filler 1 head 6 nozzle</t>
        </is>
      </c>
      <c r="C14" t="inlineStr">
        <is>
          <t>EQ010-H06</t>
        </is>
      </c>
    </row>
    <row r="15">
      <c r="A15" t="inlineStr">
        <is>
          <t>EQ021</t>
        </is>
      </c>
      <c r="B15" t="inlineStr">
        <is>
          <t>Caser 1</t>
        </is>
      </c>
      <c r="C15" t="inlineStr">
        <is>
          <t>LINE001</t>
        </is>
      </c>
    </row>
    <row r="16">
      <c r="A16" t="inlineStr">
        <is>
          <t>ROOM-01</t>
        </is>
      </c>
      <c r="B16" t="inlineStr">
        <is>
          <t>Chilled store 1</t>
        </is>
      </c>
      <c r="C16" t="inlineStr">
        <is>
          <t>PLT001</t>
        </is>
      </c>
      <c r="D16" t="inlineStr">
        <is>
          <t>cold-room-temp</t>
        </is>
      </c>
    </row>
    <row r="17">
      <c r="A17" t="inlineStr">
        <is>
          <t>FRZ-01</t>
        </is>
      </c>
      <c r="B17" t="inlineStr">
        <is>
          <t>Freezer 1</t>
        </is>
      </c>
      <c r="C17" t="inlineStr">
        <is>
          <t>PLT001</t>
        </is>
      </c>
      <c r="D17" t="inlineStr">
        <is>
          <t>freezer-door</t>
        </is>
      </c>
    </row>
  </sheetData>
  <dataValidations count="2">
    <dataValidation sqref="C4:C400" showDropDown="0" showInputMessage="0" showErrorMessage="0" allowBlank="1" errorTitle="Belongs to" error="Pick one of the listed values." type="list">
      <formula1>=Anywhere_</formula1>
    </dataValidation>
    <dataValidation sqref="D4:D400" showDropDown="0" showInputMessage="0" showErrorMessage="0" allowBlank="1" errorTitle="Measures" error="Pick one of the listed values." type="list">
      <formula1>=Measurements_</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11" customWidth="1" min="1" max="1"/>
    <col width="22" customWidth="1" min="2" max="2"/>
    <col width="11" customWidth="1" min="3" max="3"/>
    <col width="11" customWidth="1" min="4" max="4"/>
  </cols>
  <sheetData>
    <row r="1">
      <c r="A1" s="1" t="inlineStr">
        <is>
          <t>Vessels product sits in between steps.</t>
        </is>
      </c>
    </row>
    <row r="3">
      <c r="A3" s="7" t="inlineStr">
        <is>
          <t>Code</t>
        </is>
      </c>
      <c r="B3" s="7" t="inlineStr">
        <is>
          <t>Name</t>
        </is>
      </c>
      <c r="C3" s="7" t="inlineStr">
        <is>
          <t>Line</t>
        </is>
      </c>
      <c r="D3" s="8" t="inlineStr">
        <is>
          <t>Delete?</t>
        </is>
      </c>
    </row>
    <row r="4">
      <c r="A4" t="inlineStr">
        <is>
          <t>TANK-3</t>
        </is>
      </c>
      <c r="B4" t="inlineStr">
        <is>
          <t>Fermentation tank 3</t>
        </is>
      </c>
      <c r="C4" t="inlineStr">
        <is>
          <t>LINE001</t>
        </is>
      </c>
    </row>
    <row r="5">
      <c r="A5" t="inlineStr">
        <is>
          <t>TANK-4</t>
        </is>
      </c>
      <c r="B5" t="inlineStr">
        <is>
          <t>Fermentation tank 4</t>
        </is>
      </c>
      <c r="C5" t="inlineStr">
        <is>
          <t>LINE001</t>
        </is>
      </c>
    </row>
    <row r="6">
      <c r="A6" t="inlineStr">
        <is>
          <t>SILO-1</t>
        </is>
      </c>
      <c r="B6" t="inlineStr">
        <is>
          <t>Raw milk silo 1</t>
        </is>
      </c>
      <c r="C6" t="inlineStr">
        <is>
          <t>LINE003</t>
        </is>
      </c>
    </row>
  </sheetData>
  <dataValidations count="1">
    <dataValidation sqref="C4:C400" showDropDown="0" showInputMessage="0" showErrorMessage="0" allowBlank="1" errorTitle="Line" error="Pick one of the listed values." type="list">
      <formula1>=Lines_</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J6"/>
  <sheetViews>
    <sheetView workbookViewId="0">
      <pane ySplit="3" topLeftCell="A4" activePane="bottomLeft" state="frozen"/>
      <selection pane="bottomLeft" activeCell="A1" sqref="A1"/>
    </sheetView>
  </sheetViews>
  <sheetFormatPr baseColWidth="8" defaultRowHeight="15"/>
  <cols>
    <col width="11" customWidth="1" min="1" max="1"/>
    <col width="25" customWidth="1" min="2" max="2"/>
    <col width="11" customWidth="1" min="3" max="3"/>
    <col width="11" customWidth="1" min="4" max="4"/>
    <col width="14" customWidth="1" min="5" max="5"/>
    <col width="15" customWidth="1" min="6" max="6"/>
    <col width="19" customWidth="1" min="7" max="7"/>
    <col width="15" customWidth="1" min="8" max="8"/>
    <col width="21" customWidth="1" min="9" max="9"/>
    <col width="11" customWidth="1" min="10" max="10"/>
  </cols>
  <sheetData>
    <row r="1">
      <c r="A1" s="1" t="inlineStr">
        <is>
          <t>What you sell.</t>
        </is>
      </c>
    </row>
    <row r="3">
      <c r="A3" s="7" t="inlineStr">
        <is>
          <t>Code</t>
        </is>
      </c>
      <c r="B3" s="7" t="inlineStr">
        <is>
          <t>Name</t>
        </is>
      </c>
      <c r="C3" s="8" t="inlineStr">
        <is>
          <t>Brand</t>
        </is>
      </c>
      <c r="D3" s="7" t="inlineStr">
        <is>
          <t>Unit</t>
        </is>
      </c>
      <c r="E3" s="8" t="inlineStr">
        <is>
          <t>Unit price</t>
        </is>
      </c>
      <c r="F3" s="8" t="inlineStr">
        <is>
          <t>Pack format</t>
        </is>
      </c>
      <c r="G3" s="8" t="inlineStr">
        <is>
          <t>Declared weight</t>
        </is>
      </c>
      <c r="H3" s="8" t="inlineStr">
        <is>
          <t>Weight unit</t>
        </is>
      </c>
      <c r="I3" s="8" t="inlineStr">
        <is>
          <t>Shelf life (days)</t>
        </is>
      </c>
      <c r="J3" s="8" t="inlineStr">
        <is>
          <t>Delete?</t>
        </is>
      </c>
    </row>
    <row r="4">
      <c r="A4" t="inlineStr">
        <is>
          <t>PRD001</t>
        </is>
      </c>
      <c r="B4" t="inlineStr">
        <is>
          <t>Yogurt Strawberry 125g</t>
        </is>
      </c>
      <c r="C4" t="inlineStr">
        <is>
          <t>Brand A</t>
        </is>
      </c>
      <c r="D4" t="inlineStr">
        <is>
          <t>pcs</t>
        </is>
      </c>
      <c r="E4" t="n">
        <v>1.34</v>
      </c>
      <c r="F4" t="inlineStr">
        <is>
          <t>CUP</t>
        </is>
      </c>
      <c r="G4" t="n">
        <v>125</v>
      </c>
      <c r="H4" t="inlineStr">
        <is>
          <t>g</t>
        </is>
      </c>
      <c r="I4" t="n">
        <v>21</v>
      </c>
    </row>
    <row r="5">
      <c r="A5" t="inlineStr">
        <is>
          <t>PRD002</t>
        </is>
      </c>
      <c r="B5" t="inlineStr">
        <is>
          <t>Yogurt Strawberry 150g</t>
        </is>
      </c>
      <c r="C5" t="inlineStr">
        <is>
          <t>Brand A</t>
        </is>
      </c>
      <c r="D5" t="inlineStr">
        <is>
          <t>pcs</t>
        </is>
      </c>
      <c r="E5" t="n">
        <v>1.52</v>
      </c>
      <c r="F5" t="inlineStr">
        <is>
          <t>CUP</t>
        </is>
      </c>
      <c r="G5" t="n">
        <v>150</v>
      </c>
      <c r="H5" t="inlineStr">
        <is>
          <t>g</t>
        </is>
      </c>
      <c r="I5" t="n">
        <v>21</v>
      </c>
    </row>
    <row r="6">
      <c r="A6" t="inlineStr">
        <is>
          <t>PRD044</t>
        </is>
      </c>
      <c r="B6" t="inlineStr">
        <is>
          <t>Yogurt Natural 125g</t>
        </is>
      </c>
      <c r="C6" t="inlineStr">
        <is>
          <t>Brand A</t>
        </is>
      </c>
      <c r="D6" t="inlineStr">
        <is>
          <t>pcs</t>
        </is>
      </c>
      <c r="E6" t="n">
        <v>1.18</v>
      </c>
      <c r="F6" t="inlineStr">
        <is>
          <t>POT</t>
        </is>
      </c>
      <c r="G6" t="n">
        <v>125</v>
      </c>
      <c r="H6" t="inlineStr">
        <is>
          <t>g</t>
        </is>
      </c>
      <c r="I6" t="n">
        <v>28</v>
      </c>
    </row>
  </sheetData>
  <dataValidations count="1">
    <dataValidation sqref="F4:F400" showDropDown="0" showInputMessage="0" showErrorMessage="0" allowBlank="1" errorTitle="Pack format" error="Pick one of the listed values." type="list">
      <formula1>=PackFormats_</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1F3864"/>
    <outlinePr summaryBelow="1" summaryRight="1"/>
    <pageSetUpPr/>
  </sheetPr>
  <dimension ref="A1:D5"/>
  <sheetViews>
    <sheetView workbookViewId="0">
      <pane ySplit="3" topLeftCell="A4" activePane="bottomLeft" state="frozen"/>
      <selection pane="bottomLeft" activeCell="A1" sqref="A1"/>
    </sheetView>
  </sheetViews>
  <sheetFormatPr baseColWidth="8" defaultRowHeight="15"/>
  <cols>
    <col width="16" customWidth="1" min="1" max="1"/>
    <col width="28" customWidth="1" min="2" max="2"/>
    <col width="11" customWidth="1" min="3" max="3"/>
    <col width="11" customWidth="1" min="4" max="4"/>
  </cols>
  <sheetData>
    <row r="1">
      <c r="A1" s="1" t="inlineStr">
        <is>
          <t>Formulations, and the version you are on.</t>
        </is>
      </c>
    </row>
    <row r="3">
      <c r="A3" s="7" t="inlineStr">
        <is>
          <t>Code</t>
        </is>
      </c>
      <c r="B3" s="7" t="inlineStr">
        <is>
          <t>Name</t>
        </is>
      </c>
      <c r="C3" s="8" t="inlineStr">
        <is>
          <t>Product</t>
        </is>
      </c>
      <c r="D3" s="8" t="inlineStr">
        <is>
          <t>Delete?</t>
        </is>
      </c>
    </row>
    <row r="4">
      <c r="A4" t="inlineStr">
        <is>
          <t>REC-PRD001-v3</t>
        </is>
      </c>
      <c r="B4" t="inlineStr">
        <is>
          <t>Yogurt Strawberry 125g v3</t>
        </is>
      </c>
      <c r="C4" t="inlineStr">
        <is>
          <t>PRD001</t>
        </is>
      </c>
    </row>
    <row r="5">
      <c r="A5" t="inlineStr">
        <is>
          <t>REC-BASE-v2</t>
        </is>
      </c>
      <c r="B5" t="inlineStr">
        <is>
          <t>Yogurt base v2</t>
        </is>
      </c>
    </row>
  </sheetData>
  <dataValidations count="1">
    <dataValidation sqref="C4:C400" showDropDown="0" showInputMessage="0" showErrorMessage="0" allowBlank="1" errorTitle="Product" error="Pick one of the listed values." type="list">
      <formula1>=Products_</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1F3864"/>
    <outlinePr summaryBelow="1" summaryRight="1"/>
    <pageSetUpPr/>
  </sheetPr>
  <dimension ref="A1:I13"/>
  <sheetViews>
    <sheetView workbookViewId="0">
      <pane ySplit="3" topLeftCell="A4" activePane="bottomLeft" state="frozen"/>
      <selection pane="bottomLeft" activeCell="A1" sqref="A1"/>
    </sheetView>
  </sheetViews>
  <sheetFormatPr baseColWidth="8" defaultRowHeight="15"/>
  <cols>
    <col width="20" customWidth="1" min="1" max="1"/>
    <col width="25" customWidth="1" min="2" max="2"/>
    <col width="11" customWidth="1" min="3" max="3"/>
    <col width="13" customWidth="1" min="4" max="4"/>
    <col width="15" customWidth="1" min="5" max="5"/>
    <col width="12" customWidth="1" min="6" max="6"/>
    <col width="11" customWidth="1" min="7" max="7"/>
    <col width="11" customWidth="1" min="8" max="8"/>
    <col width="11" customWidth="1" min="9" max="9"/>
  </cols>
  <sheetData>
    <row r="1">
      <c r="A1" s="1" t="inlineStr">
        <is>
          <t>Ingredients, packaging, chemicals, utilities and spare parts.</t>
        </is>
      </c>
    </row>
    <row r="2">
      <c r="A2" s="5" t="inlineStr">
        <is>
          <t>Lot tracked = no is the answer to 'water has no lot number'. Everything else is yes.</t>
        </is>
      </c>
    </row>
    <row r="3">
      <c r="A3" s="7" t="inlineStr">
        <is>
          <t>Code</t>
        </is>
      </c>
      <c r="B3" s="7" t="inlineStr">
        <is>
          <t>Name</t>
        </is>
      </c>
      <c r="C3" s="7" t="inlineStr">
        <is>
          <t>Unit</t>
        </is>
      </c>
      <c r="D3" s="8" t="inlineStr">
        <is>
          <t>Group</t>
        </is>
      </c>
      <c r="E3" s="7" t="inlineStr">
        <is>
          <t>Lot tracked</t>
        </is>
      </c>
      <c r="F3" s="8" t="inlineStr">
        <is>
          <t>Allergen</t>
        </is>
      </c>
      <c r="G3" s="8" t="inlineStr">
        <is>
          <t>Storage</t>
        </is>
      </c>
      <c r="H3" s="8" t="inlineStr">
        <is>
          <t>Origin</t>
        </is>
      </c>
      <c r="I3" s="8" t="inlineStr">
        <is>
          <t>Delete?</t>
        </is>
      </c>
    </row>
    <row r="4">
      <c r="A4" t="inlineStr">
        <is>
          <t>MAT0001</t>
        </is>
      </c>
      <c r="B4" t="inlineStr">
        <is>
          <t>Raw milk 3.8% fat</t>
        </is>
      </c>
      <c r="C4" t="inlineStr">
        <is>
          <t>kg</t>
        </is>
      </c>
      <c r="D4" t="inlineStr">
        <is>
          <t>Dairy, raw</t>
        </is>
      </c>
      <c r="E4" t="inlineStr">
        <is>
          <t>yes</t>
        </is>
      </c>
      <c r="F4" t="inlineStr">
        <is>
          <t>ALG-MILK</t>
        </is>
      </c>
      <c r="G4" t="inlineStr">
        <is>
          <t>CHILLED</t>
        </is>
      </c>
      <c r="H4" t="inlineStr">
        <is>
          <t>SI</t>
        </is>
      </c>
    </row>
    <row r="5">
      <c r="A5" t="inlineStr">
        <is>
          <t>MAT0042</t>
        </is>
      </c>
      <c r="B5" t="inlineStr">
        <is>
          <t>Strawberry preparation</t>
        </is>
      </c>
      <c r="C5" t="inlineStr">
        <is>
          <t>kg</t>
        </is>
      </c>
      <c r="D5" t="inlineStr">
        <is>
          <t>Fruit</t>
        </is>
      </c>
      <c r="E5" t="inlineStr">
        <is>
          <t>yes</t>
        </is>
      </c>
      <c r="F5" t="inlineStr">
        <is>
          <t>ALG-NONE</t>
        </is>
      </c>
      <c r="G5" t="inlineStr">
        <is>
          <t>AMBIENT</t>
        </is>
      </c>
      <c r="H5" t="inlineStr">
        <is>
          <t>IT</t>
        </is>
      </c>
    </row>
    <row r="6">
      <c r="A6" t="inlineStr">
        <is>
          <t>MAT0110</t>
        </is>
      </c>
      <c r="B6" t="inlineStr">
        <is>
          <t>Yogurt culture YC-380</t>
        </is>
      </c>
      <c r="C6" t="inlineStr">
        <is>
          <t>g</t>
        </is>
      </c>
      <c r="D6" t="inlineStr">
        <is>
          <t>Cultures</t>
        </is>
      </c>
      <c r="E6" t="inlineStr">
        <is>
          <t>yes</t>
        </is>
      </c>
      <c r="F6" t="inlineStr">
        <is>
          <t>ALG-MILK</t>
        </is>
      </c>
      <c r="G6" t="inlineStr">
        <is>
          <t>FROZEN</t>
        </is>
      </c>
      <c r="H6" t="inlineStr">
        <is>
          <t>DK</t>
        </is>
      </c>
    </row>
    <row r="7">
      <c r="A7" t="inlineStr">
        <is>
          <t>PKG0001</t>
        </is>
      </c>
      <c r="B7" t="inlineStr">
        <is>
          <t>Cup 125g PS white</t>
        </is>
      </c>
      <c r="C7" t="inlineStr">
        <is>
          <t>pcs</t>
        </is>
      </c>
      <c r="D7" t="inlineStr">
        <is>
          <t>Packaging</t>
        </is>
      </c>
      <c r="E7" t="inlineStr">
        <is>
          <t>yes</t>
        </is>
      </c>
      <c r="F7" t="inlineStr">
        <is>
          <t>ALG-NONE</t>
        </is>
      </c>
      <c r="G7" t="inlineStr">
        <is>
          <t>AMBIENT</t>
        </is>
      </c>
      <c r="H7" t="inlineStr">
        <is>
          <t>NO</t>
        </is>
      </c>
    </row>
    <row r="8">
      <c r="A8" t="inlineStr">
        <is>
          <t>CAUSTIC</t>
        </is>
      </c>
      <c r="B8" t="inlineStr">
        <is>
          <t>Caustic soda 50%</t>
        </is>
      </c>
      <c r="C8" t="inlineStr">
        <is>
          <t>l</t>
        </is>
      </c>
      <c r="D8" t="inlineStr">
        <is>
          <t>Chemicals</t>
        </is>
      </c>
      <c r="E8" t="inlineStr">
        <is>
          <t>yes</t>
        </is>
      </c>
      <c r="F8" t="inlineStr">
        <is>
          <t>ALG-NONE</t>
        </is>
      </c>
      <c r="G8" t="inlineStr">
        <is>
          <t>AMBIENT</t>
        </is>
      </c>
      <c r="H8" t="inlineStr">
        <is>
          <t>DE</t>
        </is>
      </c>
    </row>
    <row r="9">
      <c r="A9" t="inlineStr">
        <is>
          <t>MAT-NOZZLE-N4471B</t>
        </is>
      </c>
      <c r="B9" t="inlineStr">
        <is>
          <t>Filler nozzle N-4471-B</t>
        </is>
      </c>
      <c r="C9" t="inlineStr">
        <is>
          <t>pcs</t>
        </is>
      </c>
      <c r="D9" t="inlineStr">
        <is>
          <t>Spares</t>
        </is>
      </c>
      <c r="E9" t="inlineStr">
        <is>
          <t>yes</t>
        </is>
      </c>
    </row>
    <row r="10">
      <c r="A10" t="inlineStr">
        <is>
          <t>MAT-GASKET-P3</t>
        </is>
      </c>
      <c r="B10" t="inlineStr">
        <is>
          <t>Plate pack gasket P3</t>
        </is>
      </c>
      <c r="C10" t="inlineStr">
        <is>
          <t>pcs</t>
        </is>
      </c>
      <c r="D10" t="inlineStr">
        <is>
          <t>Spares</t>
        </is>
      </c>
      <c r="E10" t="inlineStr">
        <is>
          <t>yes</t>
        </is>
      </c>
    </row>
    <row r="11">
      <c r="A11" t="inlineStr">
        <is>
          <t>WATER</t>
        </is>
      </c>
      <c r="B11" t="inlineStr">
        <is>
          <t>Mains water</t>
        </is>
      </c>
      <c r="C11" t="inlineStr">
        <is>
          <t>l</t>
        </is>
      </c>
      <c r="D11" t="inlineStr">
        <is>
          <t>Utilities</t>
        </is>
      </c>
      <c r="E11" t="inlineStr">
        <is>
          <t>no</t>
        </is>
      </c>
      <c r="F11" t="inlineStr">
        <is>
          <t>ALG-NONE</t>
        </is>
      </c>
      <c r="G11" t="inlineStr">
        <is>
          <t>AMBIENT</t>
        </is>
      </c>
    </row>
    <row r="12">
      <c r="A12" t="inlineStr">
        <is>
          <t>ELEC</t>
        </is>
      </c>
      <c r="B12" t="inlineStr">
        <is>
          <t>Electricity</t>
        </is>
      </c>
      <c r="C12" t="inlineStr">
        <is>
          <t>kWh</t>
        </is>
      </c>
      <c r="D12" t="inlineStr">
        <is>
          <t>Utilities</t>
        </is>
      </c>
      <c r="E12" t="inlineStr">
        <is>
          <t>no</t>
        </is>
      </c>
    </row>
    <row r="13">
      <c r="A13" t="inlineStr">
        <is>
          <t>STEAM</t>
        </is>
      </c>
      <c r="B13" t="inlineStr">
        <is>
          <t>Process steam</t>
        </is>
      </c>
      <c r="C13" t="inlineStr">
        <is>
          <t>MJ</t>
        </is>
      </c>
      <c r="D13" t="inlineStr">
        <is>
          <t>Utilities</t>
        </is>
      </c>
      <c r="E13" t="inlineStr">
        <is>
          <t>no</t>
        </is>
      </c>
    </row>
  </sheetData>
  <dataValidations count="4">
    <dataValidation sqref="E4:E400" showDropDown="0" showInputMessage="0" showErrorMessage="0" allowBlank="1" errorTitle="Lot tracked" error="Pick one of the listed values." type="list">
      <formula1>"yes,no"</formula1>
    </dataValidation>
    <dataValidation sqref="F4:F400" showDropDown="0" showInputMessage="0" showErrorMessage="0" allowBlank="1" errorTitle="Allergen" error="Pick one of the listed values." type="list">
      <formula1>=Allergens_</formula1>
    </dataValidation>
    <dataValidation sqref="G4:G400" showDropDown="0" showInputMessage="0" showErrorMessage="0" allowBlank="1" errorTitle="Storage" error="Pick one of the listed values." type="list">
      <formula1>=Storage_</formula1>
    </dataValidation>
    <dataValidation sqref="H4:H400" showDropDown="0" showInputMessage="0" showErrorMessage="0" allowBlank="1" errorTitle="Origin" error="Pick one of the listed values." type="list">
      <formula1>=Origins_</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1F3864"/>
    <outlinePr summaryBelow="1" summaryRight="1"/>
    <pageSetUpPr/>
  </sheetPr>
  <dimension ref="A1:D8"/>
  <sheetViews>
    <sheetView workbookViewId="0">
      <pane ySplit="3" topLeftCell="A4" activePane="bottomLeft" state="frozen"/>
      <selection pane="bottomLeft" activeCell="A1" sqref="A1"/>
    </sheetView>
  </sheetViews>
  <sheetFormatPr baseColWidth="8" defaultRowHeight="15"/>
  <cols>
    <col width="25" customWidth="1" min="1" max="1"/>
    <col width="31" customWidth="1" min="2" max="2"/>
    <col width="11" customWidth="1" min="3" max="3"/>
    <col width="11" customWidth="1" min="4" max="4"/>
  </cols>
  <sheetData>
    <row r="1">
      <c r="A1" s="1" t="inlineStr">
        <is>
          <t>Costs that are not a material — overtime, subcontract, disposal.</t>
        </is>
      </c>
    </row>
    <row r="2">
      <c r="A2" s="5" t="inlineStr">
        <is>
          <t>Without these, the cost of a run is only its materials and its people, and everything else disappears.</t>
        </is>
      </c>
    </row>
    <row r="3">
      <c r="A3" s="7" t="inlineStr">
        <is>
          <t>Code</t>
        </is>
      </c>
      <c r="B3" s="7" t="inlineStr">
        <is>
          <t>Name</t>
        </is>
      </c>
      <c r="C3" s="8" t="inlineStr">
        <is>
          <t>Unit</t>
        </is>
      </c>
      <c r="D3" s="8" t="inlineStr">
        <is>
          <t>Delete?</t>
        </is>
      </c>
    </row>
    <row r="4">
      <c r="A4" t="inlineStr">
        <is>
          <t>EXP-OVERTIME</t>
        </is>
      </c>
      <c r="B4" t="inlineStr">
        <is>
          <t>Overtime premium</t>
        </is>
      </c>
      <c r="C4" t="inlineStr">
        <is>
          <t>h</t>
        </is>
      </c>
    </row>
    <row r="5">
      <c r="A5" t="inlineStr">
        <is>
          <t>EXP-SUBCONTRACT</t>
        </is>
      </c>
      <c r="B5" t="inlineStr">
        <is>
          <t>Subcontracted work</t>
        </is>
      </c>
      <c r="C5" t="inlineStr">
        <is>
          <t>job</t>
        </is>
      </c>
    </row>
    <row r="6">
      <c r="A6" t="inlineStr">
        <is>
          <t>EXP-LAB</t>
        </is>
      </c>
      <c r="B6" t="inlineStr">
        <is>
          <t>External laboratory analysis</t>
        </is>
      </c>
      <c r="C6" t="inlineStr">
        <is>
          <t>job</t>
        </is>
      </c>
    </row>
    <row r="7">
      <c r="A7" t="inlineStr">
        <is>
          <t>EXP-DISPOSAL</t>
        </is>
      </c>
      <c r="B7" t="inlineStr">
        <is>
          <t>Waste disposal fee</t>
        </is>
      </c>
      <c r="C7" t="inlineStr">
        <is>
          <t>kg</t>
        </is>
      </c>
    </row>
    <row r="8">
      <c r="A8" t="inlineStr">
        <is>
          <t>EXP-EFFLUENT-SURCHARGE</t>
        </is>
      </c>
      <c r="B8" t="inlineStr">
        <is>
          <t>Effluent surcharge</t>
        </is>
      </c>
      <c r="C8" t="inlineStr">
        <is>
          <t>m3</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F3864"/>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11" customWidth="1" min="1" max="1"/>
    <col width="32" customWidth="1" min="2" max="2"/>
    <col width="14" customWidth="1" min="3" max="3"/>
    <col width="14" customWidth="1" min="4" max="4"/>
    <col width="11" customWidth="1" min="5" max="5"/>
  </cols>
  <sheetData>
    <row r="1">
      <c r="A1" s="1" t="inlineStr">
        <is>
          <t>Who you buy from.</t>
        </is>
      </c>
    </row>
    <row r="3">
      <c r="A3" s="7" t="inlineStr">
        <is>
          <t>Code</t>
        </is>
      </c>
      <c r="B3" s="7" t="inlineStr">
        <is>
          <t>Name</t>
        </is>
      </c>
      <c r="C3" s="8" t="inlineStr">
        <is>
          <t>Tax number</t>
        </is>
      </c>
      <c r="D3" s="8" t="inlineStr">
        <is>
          <t>Group</t>
        </is>
      </c>
      <c r="E3" s="8" t="inlineStr">
        <is>
          <t>Delete?</t>
        </is>
      </c>
    </row>
    <row r="4">
      <c r="A4" t="inlineStr">
        <is>
          <t>SUP001</t>
        </is>
      </c>
      <c r="B4" t="inlineStr">
        <is>
          <t>Alpine Milk Cooperative Slovenia</t>
        </is>
      </c>
      <c r="C4" t="inlineStr">
        <is>
          <t>SI12345678</t>
        </is>
      </c>
      <c r="D4" t="inlineStr">
        <is>
          <t>Cooperative</t>
        </is>
      </c>
    </row>
    <row r="5">
      <c r="A5" t="inlineStr">
        <is>
          <t>SUP002</t>
        </is>
      </c>
      <c r="B5" t="inlineStr">
        <is>
          <t>Adria Dairy Farms Austria</t>
        </is>
      </c>
      <c r="C5" t="inlineStr">
        <is>
          <t>ATU87654321</t>
        </is>
      </c>
      <c r="D5" t="inlineStr">
        <is>
          <t>Farm</t>
        </is>
      </c>
    </row>
    <row r="6">
      <c r="A6" t="inlineStr">
        <is>
          <t>SUP014</t>
        </is>
      </c>
      <c r="B6" t="inlineStr">
        <is>
          <t>Nordic Packaging AS</t>
        </is>
      </c>
      <c r="C6" t="inlineStr">
        <is>
          <t>NO998877665</t>
        </is>
      </c>
      <c r="D6" t="inlineStr">
        <is>
          <t>Packaging</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11" customWidth="1" min="1" max="1"/>
    <col width="32" customWidth="1" min="2" max="2"/>
    <col width="16" customWidth="1" min="3" max="3"/>
    <col width="15" customWidth="1" min="4" max="4"/>
    <col width="11" customWidth="1" min="5" max="5"/>
  </cols>
  <sheetData>
    <row r="1">
      <c r="A1" s="1" t="inlineStr">
        <is>
          <t>Who you sell to. Needed to make sense of complaints.</t>
        </is>
      </c>
    </row>
    <row r="3">
      <c r="A3" s="7" t="inlineStr">
        <is>
          <t>Code</t>
        </is>
      </c>
      <c r="B3" s="7" t="inlineStr">
        <is>
          <t>Name</t>
        </is>
      </c>
      <c r="C3" s="8" t="inlineStr">
        <is>
          <t>Tax number</t>
        </is>
      </c>
      <c r="D3" s="8" t="inlineStr">
        <is>
          <t>Group</t>
        </is>
      </c>
      <c r="E3" s="8" t="inlineStr">
        <is>
          <t>Delete?</t>
        </is>
      </c>
    </row>
    <row r="4">
      <c r="A4" t="inlineStr">
        <is>
          <t>CUS001</t>
        </is>
      </c>
      <c r="B4" t="inlineStr">
        <is>
          <t>Retail Chain 1 Slovenia</t>
        </is>
      </c>
      <c r="C4" t="inlineStr">
        <is>
          <t>SI22334455</t>
        </is>
      </c>
      <c r="D4" t="inlineStr">
        <is>
          <t>Retail</t>
        </is>
      </c>
    </row>
    <row r="5">
      <c r="A5" t="inlineStr">
        <is>
          <t>CUS002</t>
        </is>
      </c>
      <c r="B5" t="inlineStr">
        <is>
          <t>Discount Retailer 1 Austria</t>
        </is>
      </c>
      <c r="C5" t="inlineStr">
        <is>
          <t>ATU55443322</t>
        </is>
      </c>
      <c r="D5" t="inlineStr">
        <is>
          <t>Discount</t>
        </is>
      </c>
    </row>
    <row r="6">
      <c r="A6" t="inlineStr">
        <is>
          <t>CUS003</t>
        </is>
      </c>
      <c r="B6" t="inlineStr">
        <is>
          <t>Food Service Distributor 1 Italy</t>
        </is>
      </c>
      <c r="C6" t="inlineStr">
        <is>
          <t>IT01234567890</t>
        </is>
      </c>
      <c r="D6" t="inlineStr">
        <is>
          <t>Food service</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1F3864"/>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11" customWidth="1" min="1" max="1"/>
    <col width="18" customWidth="1" min="2" max="2"/>
    <col width="11" customWidth="1" min="3" max="3"/>
  </cols>
  <sheetData>
    <row r="1">
      <c r="A1" s="1" t="inlineStr">
        <is>
          <t>Your shift pattern.</t>
        </is>
      </c>
    </row>
    <row r="3">
      <c r="A3" s="7" t="inlineStr">
        <is>
          <t>Code</t>
        </is>
      </c>
      <c r="B3" s="7" t="inlineStr">
        <is>
          <t>Name</t>
        </is>
      </c>
      <c r="C3" s="8" t="inlineStr">
        <is>
          <t>Delete?</t>
        </is>
      </c>
    </row>
    <row r="4">
      <c r="A4" t="inlineStr">
        <is>
          <t>SHIFT_A</t>
        </is>
      </c>
      <c r="B4" t="inlineStr">
        <is>
          <t>Morning shift</t>
        </is>
      </c>
    </row>
    <row r="5">
      <c r="A5" t="inlineStr">
        <is>
          <t>SHIFT_B</t>
        </is>
      </c>
      <c r="B5" t="inlineStr">
        <is>
          <t>Afternoon shift</t>
        </is>
      </c>
    </row>
    <row r="6">
      <c r="A6" t="inlineStr">
        <is>
          <t>SHIFT_C</t>
        </is>
      </c>
      <c r="B6" t="inlineStr">
        <is>
          <t>Night shift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1F3864"/>
    <outlinePr summaryBelow="1" summaryRight="1"/>
    <pageSetUpPr/>
  </sheetPr>
  <dimension ref="A1:C7"/>
  <sheetViews>
    <sheetView workbookViewId="0">
      <pane ySplit="3" topLeftCell="A4" activePane="bottomLeft" state="frozen"/>
      <selection pane="bottomLeft" activeCell="A1" sqref="A1"/>
    </sheetView>
  </sheetViews>
  <sheetFormatPr baseColWidth="8" defaultRowHeight="15"/>
  <cols>
    <col width="13" customWidth="1" min="1" max="1"/>
    <col width="19" customWidth="1" min="2" max="2"/>
    <col width="11" customWidth="1" min="3" max="3"/>
  </cols>
  <sheetData>
    <row r="1">
      <c r="A1" s="1" t="inlineStr">
        <is>
          <t>Your crews. There is deliberately no way to register a person.</t>
        </is>
      </c>
    </row>
    <row r="2">
      <c r="A2" s="5" t="inlineStr">
        <is>
          <t>Hours are always recorded against a crew or a shift, never an individual.</t>
        </is>
      </c>
    </row>
    <row r="3">
      <c r="A3" s="7" t="inlineStr">
        <is>
          <t>Code</t>
        </is>
      </c>
      <c r="B3" s="7" t="inlineStr">
        <is>
          <t>Name</t>
        </is>
      </c>
      <c r="C3" s="8" t="inlineStr">
        <is>
          <t>Delete?</t>
        </is>
      </c>
    </row>
    <row r="4">
      <c r="A4" t="inlineStr">
        <is>
          <t>CREW-A</t>
        </is>
      </c>
      <c r="B4" t="inlineStr">
        <is>
          <t>Crew A</t>
        </is>
      </c>
    </row>
    <row r="5">
      <c r="A5" t="inlineStr">
        <is>
          <t>CREW-B</t>
        </is>
      </c>
      <c r="B5" t="inlineStr">
        <is>
          <t>Crew B</t>
        </is>
      </c>
    </row>
    <row r="6">
      <c r="A6" t="inlineStr">
        <is>
          <t>CREW-C</t>
        </is>
      </c>
      <c r="B6" t="inlineStr">
        <is>
          <t>Night crew C</t>
        </is>
      </c>
    </row>
    <row r="7">
      <c r="A7" t="inlineStr">
        <is>
          <t>CREW-MAINT</t>
        </is>
      </c>
      <c r="B7" t="inlineStr">
        <is>
          <t>Maintenance crew</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1F3864"/>
    <outlinePr summaryBelow="1" summaryRight="1"/>
    <pageSetUpPr/>
  </sheetPr>
  <dimension ref="A1:I36"/>
  <sheetViews>
    <sheetView workbookViewId="0">
      <pane ySplit="3" topLeftCell="A4" activePane="bottomLeft" state="frozen"/>
      <selection pane="bottomLeft" activeCell="A1" sqref="A1"/>
    </sheetView>
  </sheetViews>
  <sheetFormatPr baseColWidth="8" defaultRowHeight="15"/>
  <cols>
    <col width="29" customWidth="1" min="1" max="1"/>
    <col width="32" customWidth="1" min="2" max="2"/>
    <col width="11" customWidth="1" min="3" max="3"/>
    <col width="17" customWidth="1" min="4" max="4"/>
    <col width="20" customWidth="1" min="5" max="5"/>
    <col width="20" customWidth="1" min="6" max="6"/>
    <col width="16" customWidth="1" min="7" max="7"/>
    <col width="16" customWidth="1" min="8" max="8"/>
    <col width="11" customWidth="1" min="9" max="9"/>
  </cols>
  <sheetData>
    <row r="1">
      <c r="A1" s="1" t="inlineStr">
        <is>
          <t>Everything you can record a value for. Add your own at the bottom.</t>
        </is>
      </c>
    </row>
    <row r="2">
      <c r="A2" s="5" t="inlineStr">
        <is>
          <t>The greyed rows come with the pack and are already set up — use their codes, do not change them. Add your own underneath.</t>
        </is>
      </c>
    </row>
    <row r="3">
      <c r="A3" s="7" t="inlineStr">
        <is>
          <t>Code</t>
        </is>
      </c>
      <c r="B3" s="7" t="inlineStr">
        <is>
          <t>Name</t>
        </is>
      </c>
      <c r="C3" s="8" t="inlineStr">
        <is>
          <t>Unit</t>
        </is>
      </c>
      <c r="D3" s="7" t="inlineStr">
        <is>
          <t>Kind of value</t>
        </is>
      </c>
      <c r="E3" s="8" t="inlineStr">
        <is>
          <t>Read every (min)</t>
        </is>
      </c>
      <c r="F3" s="7" t="inlineStr">
        <is>
          <t>What it measures</t>
        </is>
      </c>
      <c r="G3" s="8" t="inlineStr">
        <is>
          <t>Ignore below</t>
        </is>
      </c>
      <c r="H3" s="8" t="inlineStr">
        <is>
          <t>Ignore above</t>
        </is>
      </c>
      <c r="I3" s="8" t="inlineStr">
        <is>
          <t>Delete?</t>
        </is>
      </c>
    </row>
    <row r="4">
      <c r="A4" s="9" t="inlineStr">
        <is>
          <t>ambient-temp</t>
        </is>
      </c>
      <c r="B4" s="9" t="inlineStr">
        <is>
          <t>Ambient temperature</t>
        </is>
      </c>
      <c r="C4" s="9" t="inlineStr">
        <is>
          <t>C</t>
        </is>
      </c>
      <c r="D4" s="9" t="inlineStr">
        <is>
          <t>a number</t>
        </is>
      </c>
      <c r="E4" s="9" t="n">
        <v>5</v>
      </c>
      <c r="F4" s="9" t="inlineStr">
        <is>
          <t>temperature</t>
        </is>
      </c>
      <c r="G4" s="9" t="n">
        <v>-40</v>
      </c>
      <c r="H4" s="9" t="n">
        <v>60</v>
      </c>
    </row>
    <row r="5">
      <c r="A5" s="9" t="inlineStr">
        <is>
          <t>ambient-humidity</t>
        </is>
      </c>
      <c r="B5" s="9" t="inlineStr">
        <is>
          <t>Relative humidity</t>
        </is>
      </c>
      <c r="C5" s="9" t="inlineStr">
        <is>
          <t>%rh</t>
        </is>
      </c>
      <c r="D5" s="9" t="inlineStr">
        <is>
          <t>a number</t>
        </is>
      </c>
      <c r="E5" s="9" t="n">
        <v>5</v>
      </c>
      <c r="F5" s="9" t="inlineStr">
        <is>
          <t>humidity</t>
        </is>
      </c>
      <c r="G5" s="9" t="n">
        <v>0</v>
      </c>
      <c r="H5" s="9" t="n">
        <v>100</v>
      </c>
    </row>
    <row r="6">
      <c r="A6" s="9" t="inlineStr">
        <is>
          <t>ph</t>
        </is>
      </c>
      <c r="B6" s="9" t="inlineStr">
        <is>
          <t>pH</t>
        </is>
      </c>
      <c r="C6" s="9" t="inlineStr">
        <is>
          <t>pH</t>
        </is>
      </c>
      <c r="D6" s="9" t="inlineStr">
        <is>
          <t>a number</t>
        </is>
      </c>
      <c r="E6" s="9" t="n">
        <v>5</v>
      </c>
      <c r="F6" s="9" t="inlineStr">
        <is>
          <t>composition</t>
        </is>
      </c>
      <c r="G6" s="9" t="n">
        <v>0</v>
      </c>
      <c r="H6" s="9" t="n">
        <v>14</v>
      </c>
    </row>
    <row r="7">
      <c r="A7" s="9" t="inlineStr">
        <is>
          <t>pressure</t>
        </is>
      </c>
      <c r="B7" s="9" t="inlineStr">
        <is>
          <t>Pressure</t>
        </is>
      </c>
      <c r="C7" s="9" t="inlineStr">
        <is>
          <t>bar</t>
        </is>
      </c>
      <c r="D7" s="9" t="inlineStr">
        <is>
          <t>a number</t>
        </is>
      </c>
      <c r="E7" s="9" t="n">
        <v>1</v>
      </c>
      <c r="F7" s="9" t="inlineStr">
        <is>
          <t>pressure</t>
        </is>
      </c>
      <c r="G7" s="9" t="n"/>
      <c r="H7" s="9" t="n"/>
    </row>
    <row r="8">
      <c r="A8" s="9" t="inlineStr">
        <is>
          <t>air-flow</t>
        </is>
      </c>
      <c r="B8" s="9" t="inlineStr">
        <is>
          <t>Air flow</t>
        </is>
      </c>
      <c r="C8" s="9" t="inlineStr">
        <is>
          <t>m3/h</t>
        </is>
      </c>
      <c r="D8" s="9" t="inlineStr">
        <is>
          <t>a number</t>
        </is>
      </c>
      <c r="E8" s="9" t="n">
        <v>1</v>
      </c>
      <c r="F8" s="9" t="inlineStr">
        <is>
          <t>flow</t>
        </is>
      </c>
      <c r="G8" s="9" t="n"/>
      <c r="H8" s="9" t="n"/>
    </row>
    <row r="9">
      <c r="A9" s="9" t="inlineStr">
        <is>
          <t>liquid-flow</t>
        </is>
      </c>
      <c r="B9" s="9" t="inlineStr">
        <is>
          <t>Liquid flow</t>
        </is>
      </c>
      <c r="C9" s="9" t="inlineStr">
        <is>
          <t>l/min</t>
        </is>
      </c>
      <c r="D9" s="9" t="inlineStr">
        <is>
          <t>a number</t>
        </is>
      </c>
      <c r="E9" s="9" t="n">
        <v>1</v>
      </c>
      <c r="F9" s="9" t="inlineStr">
        <is>
          <t>flow</t>
        </is>
      </c>
      <c r="G9" s="9" t="n"/>
      <c r="H9" s="9" t="n"/>
    </row>
    <row r="10">
      <c r="A10" s="9" t="inlineStr">
        <is>
          <t>differential-pressure</t>
        </is>
      </c>
      <c r="B10" s="9" t="inlineStr">
        <is>
          <t>Differential pressure</t>
        </is>
      </c>
      <c r="C10" s="9" t="inlineStr">
        <is>
          <t>Pa</t>
        </is>
      </c>
      <c r="D10" s="9" t="inlineStr">
        <is>
          <t>a number</t>
        </is>
      </c>
      <c r="E10" s="9" t="n">
        <v>5</v>
      </c>
      <c r="F10" s="9" t="inlineStr">
        <is>
          <t>pressure</t>
        </is>
      </c>
      <c r="G10" s="9" t="n"/>
      <c r="H10" s="9" t="n"/>
    </row>
    <row r="11">
      <c r="A11" s="9" t="inlineStr">
        <is>
          <t>air-velocity</t>
        </is>
      </c>
      <c r="B11" s="9" t="inlineStr">
        <is>
          <t>Air velocity</t>
        </is>
      </c>
      <c r="C11" s="9" t="inlineStr">
        <is>
          <t>m/s</t>
        </is>
      </c>
      <c r="D11" s="9" t="inlineStr">
        <is>
          <t>a number</t>
        </is>
      </c>
      <c r="E11" s="9" t="n">
        <v>5</v>
      </c>
      <c r="F11" s="9" t="inlineStr">
        <is>
          <t>flow</t>
        </is>
      </c>
      <c r="G11" s="9" t="n"/>
      <c r="H11" s="9" t="n"/>
    </row>
    <row r="12">
      <c r="A12" s="9" t="inlineStr">
        <is>
          <t>co2-concentration</t>
        </is>
      </c>
      <c r="B12" s="9" t="inlineStr">
        <is>
          <t>CO2 concentration</t>
        </is>
      </c>
      <c r="C12" s="9" t="inlineStr">
        <is>
          <t>ppm</t>
        </is>
      </c>
      <c r="D12" s="9" t="inlineStr">
        <is>
          <t>a number</t>
        </is>
      </c>
      <c r="E12" s="9" t="n">
        <v>5</v>
      </c>
      <c r="F12" s="9" t="inlineStr">
        <is>
          <t>composition</t>
        </is>
      </c>
      <c r="G12" s="9" t="n"/>
      <c r="H12" s="9" t="n"/>
    </row>
    <row r="13">
      <c r="A13" s="9" t="inlineStr">
        <is>
          <t>o2-concentration</t>
        </is>
      </c>
      <c r="B13" s="9" t="inlineStr">
        <is>
          <t>O2 concentration</t>
        </is>
      </c>
      <c r="C13" s="9" t="inlineStr">
        <is>
          <t>%</t>
        </is>
      </c>
      <c r="D13" s="9" t="inlineStr">
        <is>
          <t>a number</t>
        </is>
      </c>
      <c r="E13" s="9" t="n">
        <v>5</v>
      </c>
      <c r="F13" s="9" t="inlineStr">
        <is>
          <t>composition</t>
        </is>
      </c>
      <c r="G13" s="9" t="n"/>
      <c r="H13" s="9" t="n"/>
    </row>
    <row r="14">
      <c r="A14" s="9" t="inlineStr">
        <is>
          <t>vacuum</t>
        </is>
      </c>
      <c r="B14" s="9" t="inlineStr">
        <is>
          <t>Vacuum</t>
        </is>
      </c>
      <c r="C14" s="9" t="inlineStr">
        <is>
          <t>mbar</t>
        </is>
      </c>
      <c r="D14" s="9" t="inlineStr">
        <is>
          <t>a number</t>
        </is>
      </c>
      <c r="E14" s="9" t="n">
        <v>5</v>
      </c>
      <c r="F14" s="9" t="inlineStr">
        <is>
          <t>pressure</t>
        </is>
      </c>
      <c r="G14" s="9" t="n"/>
      <c r="H14" s="9" t="n"/>
    </row>
    <row r="15">
      <c r="A15" s="9" t="inlineStr">
        <is>
          <t>fat</t>
        </is>
      </c>
      <c r="B15" s="9" t="inlineStr">
        <is>
          <t>Fat</t>
        </is>
      </c>
      <c r="C15" s="9" t="inlineStr">
        <is>
          <t>%</t>
        </is>
      </c>
      <c r="D15" s="9" t="inlineStr">
        <is>
          <t>a number</t>
        </is>
      </c>
      <c r="E15" s="9" t="n"/>
      <c r="F15" s="9" t="inlineStr">
        <is>
          <t>composition</t>
        </is>
      </c>
      <c r="G15" s="9" t="n">
        <v>0</v>
      </c>
      <c r="H15" s="9" t="n">
        <v>100</v>
      </c>
    </row>
    <row r="16">
      <c r="A16" s="9" t="inlineStr">
        <is>
          <t>protein</t>
        </is>
      </c>
      <c r="B16" s="9" t="inlineStr">
        <is>
          <t>Protein</t>
        </is>
      </c>
      <c r="C16" s="9" t="inlineStr">
        <is>
          <t>%</t>
        </is>
      </c>
      <c r="D16" s="9" t="inlineStr">
        <is>
          <t>a number</t>
        </is>
      </c>
      <c r="E16" s="9" t="n"/>
      <c r="F16" s="9" t="inlineStr">
        <is>
          <t>composition</t>
        </is>
      </c>
      <c r="G16" s="9" t="n">
        <v>0</v>
      </c>
      <c r="H16" s="9" t="n">
        <v>100</v>
      </c>
    </row>
    <row r="17">
      <c r="A17" s="9" t="inlineStr">
        <is>
          <t>moisture</t>
        </is>
      </c>
      <c r="B17" s="9" t="inlineStr">
        <is>
          <t>Moisture</t>
        </is>
      </c>
      <c r="C17" s="9" t="inlineStr">
        <is>
          <t>%</t>
        </is>
      </c>
      <c r="D17" s="9" t="inlineStr">
        <is>
          <t>a number</t>
        </is>
      </c>
      <c r="E17" s="9" t="n"/>
      <c r="F17" s="9" t="inlineStr">
        <is>
          <t>composition</t>
        </is>
      </c>
      <c r="G17" s="9" t="n">
        <v>0</v>
      </c>
      <c r="H17" s="9" t="n">
        <v>100</v>
      </c>
    </row>
    <row r="18">
      <c r="A18" s="9" t="inlineStr">
        <is>
          <t>brix</t>
        </is>
      </c>
      <c r="B18" s="9" t="inlineStr">
        <is>
          <t>Brix</t>
        </is>
      </c>
      <c r="C18" s="9" t="inlineStr">
        <is>
          <t>Bx</t>
        </is>
      </c>
      <c r="D18" s="9" t="inlineStr">
        <is>
          <t>a number</t>
        </is>
      </c>
      <c r="E18" s="9" t="n"/>
      <c r="F18" s="9" t="inlineStr">
        <is>
          <t>composition</t>
        </is>
      </c>
      <c r="G18" s="9" t="n">
        <v>0</v>
      </c>
      <c r="H18" s="9" t="n">
        <v>90</v>
      </c>
    </row>
    <row r="19">
      <c r="A19" s="9" t="inlineStr">
        <is>
          <t>product-temp</t>
        </is>
      </c>
      <c r="B19" s="9" t="inlineStr">
        <is>
          <t>Product temperature</t>
        </is>
      </c>
      <c r="C19" s="9" t="inlineStr">
        <is>
          <t>C</t>
        </is>
      </c>
      <c r="D19" s="9" t="inlineStr">
        <is>
          <t>a number</t>
        </is>
      </c>
      <c r="E19" s="9" t="n">
        <v>1</v>
      </c>
      <c r="F19" s="9" t="inlineStr">
        <is>
          <t>temperature</t>
        </is>
      </c>
      <c r="G19" s="9" t="n">
        <v>-40</v>
      </c>
      <c r="H19" s="9" t="n">
        <v>200</v>
      </c>
    </row>
    <row r="20">
      <c r="A20" s="9" t="inlineStr">
        <is>
          <t>product-temp-inlet</t>
        </is>
      </c>
      <c r="B20" s="9" t="inlineStr">
        <is>
          <t>Product temperature, inlet</t>
        </is>
      </c>
      <c r="C20" s="9" t="inlineStr">
        <is>
          <t>C</t>
        </is>
      </c>
      <c r="D20" s="9" t="inlineStr">
        <is>
          <t>a number</t>
        </is>
      </c>
      <c r="E20" s="9" t="n">
        <v>1</v>
      </c>
      <c r="F20" s="9" t="inlineStr">
        <is>
          <t>temperature</t>
        </is>
      </c>
      <c r="G20" s="9" t="n">
        <v>-40</v>
      </c>
      <c r="H20" s="9" t="n">
        <v>200</v>
      </c>
    </row>
    <row r="21">
      <c r="A21" s="9" t="inlineStr">
        <is>
          <t>product-temp-holding</t>
        </is>
      </c>
      <c r="B21" s="9" t="inlineStr">
        <is>
          <t>Product temperature, holding tube</t>
        </is>
      </c>
      <c r="C21" s="9" t="inlineStr">
        <is>
          <t>C</t>
        </is>
      </c>
      <c r="D21" s="9" t="inlineStr">
        <is>
          <t>a number</t>
        </is>
      </c>
      <c r="E21" s="9" t="n">
        <v>1</v>
      </c>
      <c r="F21" s="9" t="inlineStr">
        <is>
          <t>temperature</t>
        </is>
      </c>
      <c r="G21" s="9" t="n">
        <v>-40</v>
      </c>
      <c r="H21" s="9" t="n">
        <v>200</v>
      </c>
    </row>
    <row r="22">
      <c r="A22" s="9" t="inlineStr">
        <is>
          <t>product-temp-outlet</t>
        </is>
      </c>
      <c r="B22" s="9" t="inlineStr">
        <is>
          <t>Product temperature, outlet</t>
        </is>
      </c>
      <c r="C22" s="9" t="inlineStr">
        <is>
          <t>C</t>
        </is>
      </c>
      <c r="D22" s="9" t="inlineStr">
        <is>
          <t>a number</t>
        </is>
      </c>
      <c r="E22" s="9" t="n">
        <v>1</v>
      </c>
      <c r="F22" s="9" t="inlineStr">
        <is>
          <t>temperature</t>
        </is>
      </c>
      <c r="G22" s="9" t="n">
        <v>-40</v>
      </c>
      <c r="H22" s="9" t="n">
        <v>200</v>
      </c>
    </row>
    <row r="23">
      <c r="A23" s="9" t="inlineStr">
        <is>
          <t>hold-time</t>
        </is>
      </c>
      <c r="B23" s="9" t="inlineStr">
        <is>
          <t>Holding time</t>
        </is>
      </c>
      <c r="C23" s="9" t="inlineStr">
        <is>
          <t>s</t>
        </is>
      </c>
      <c r="D23" s="9" t="inlineStr">
        <is>
          <t>a number</t>
        </is>
      </c>
      <c r="E23" s="9" t="n">
        <v>1</v>
      </c>
      <c r="F23" s="9" t="inlineStr">
        <is>
          <t>time</t>
        </is>
      </c>
      <c r="G23" s="9" t="n">
        <v>0</v>
      </c>
      <c r="H23" s="9" t="n">
        <v>600</v>
      </c>
    </row>
    <row r="24">
      <c r="A24" s="9" t="inlineStr">
        <is>
          <t>line-speed</t>
        </is>
      </c>
      <c r="B24" s="9" t="inlineStr">
        <is>
          <t>Line speed</t>
        </is>
      </c>
      <c r="C24" s="9" t="inlineStr">
        <is>
          <t>pcs/min</t>
        </is>
      </c>
      <c r="D24" s="9" t="inlineStr">
        <is>
          <t>a number</t>
        </is>
      </c>
      <c r="E24" s="9" t="n">
        <v>1</v>
      </c>
      <c r="F24" s="9" t="inlineStr">
        <is>
          <t>speed</t>
        </is>
      </c>
      <c r="G24" s="9" t="n">
        <v>0</v>
      </c>
      <c r="H24" s="9" t="n"/>
    </row>
    <row r="25">
      <c r="A25" s="9" t="inlineStr">
        <is>
          <t>fill-weight</t>
        </is>
      </c>
      <c r="B25" s="9" t="inlineStr">
        <is>
          <t>Fill weight</t>
        </is>
      </c>
      <c r="C25" s="9" t="inlineStr">
        <is>
          <t>g</t>
        </is>
      </c>
      <c r="D25" s="9" t="inlineStr">
        <is>
          <t>a number</t>
        </is>
      </c>
      <c r="E25" s="9" t="n"/>
      <c r="F25" s="9" t="inlineStr">
        <is>
          <t>weight</t>
        </is>
      </c>
      <c r="G25" s="9" t="n">
        <v>0</v>
      </c>
      <c r="H25" s="9" t="n"/>
    </row>
    <row r="26">
      <c r="A26" s="9" t="inlineStr">
        <is>
          <t>fill-target</t>
        </is>
      </c>
      <c r="B26" s="9" t="inlineStr">
        <is>
          <t>Fill weight setting</t>
        </is>
      </c>
      <c r="C26" s="9" t="inlineStr">
        <is>
          <t>g</t>
        </is>
      </c>
      <c r="D26" s="9" t="inlineStr">
        <is>
          <t>a number</t>
        </is>
      </c>
      <c r="E26" s="9" t="n"/>
      <c r="F26" s="9" t="inlineStr">
        <is>
          <t>a setting</t>
        </is>
      </c>
      <c r="G26" s="9" t="n">
        <v>0</v>
      </c>
      <c r="H26" s="9" t="n"/>
    </row>
    <row r="27">
      <c r="A27" s="9" t="inlineStr">
        <is>
          <t>speed-setpoint</t>
        </is>
      </c>
      <c r="B27" s="9" t="inlineStr">
        <is>
          <t>Speed setting</t>
        </is>
      </c>
      <c r="C27" s="9" t="inlineStr">
        <is>
          <t>pcs/min</t>
        </is>
      </c>
      <c r="D27" s="9" t="inlineStr">
        <is>
          <t>a number</t>
        </is>
      </c>
      <c r="E27" s="9" t="n"/>
      <c r="F27" s="9" t="inlineStr">
        <is>
          <t>a setting</t>
        </is>
      </c>
      <c r="G27" s="9" t="n">
        <v>0</v>
      </c>
      <c r="H27" s="9" t="n"/>
    </row>
    <row r="28">
      <c r="A28" s="9" t="inlineStr">
        <is>
          <t>oven-setpoint</t>
        </is>
      </c>
      <c r="B28" s="9" t="inlineStr">
        <is>
          <t>Oven temperature setting</t>
        </is>
      </c>
      <c r="C28" s="9" t="inlineStr">
        <is>
          <t>C</t>
        </is>
      </c>
      <c r="D28" s="9" t="inlineStr">
        <is>
          <t>a number</t>
        </is>
      </c>
      <c r="E28" s="9" t="n"/>
      <c r="F28" s="9" t="inlineStr">
        <is>
          <t>a setting</t>
        </is>
      </c>
      <c r="G28" s="9" t="n"/>
      <c r="H28" s="9" t="n"/>
    </row>
    <row r="29">
      <c r="A29" s="9" t="inlineStr">
        <is>
          <t>cip-temp-setpoint</t>
        </is>
      </c>
      <c r="B29" s="9" t="inlineStr">
        <is>
          <t>CIP temperature setting</t>
        </is>
      </c>
      <c r="C29" s="9" t="inlineStr">
        <is>
          <t>C</t>
        </is>
      </c>
      <c r="D29" s="9" t="inlineStr">
        <is>
          <t>a number</t>
        </is>
      </c>
      <c r="E29" s="9" t="n"/>
      <c r="F29" s="9" t="inlineStr">
        <is>
          <t>a setting</t>
        </is>
      </c>
      <c r="G29" s="9" t="n"/>
      <c r="H29" s="9" t="n"/>
    </row>
    <row r="30">
      <c r="A30" s="9" t="inlineStr">
        <is>
          <t>cip-concentration-setpoint</t>
        </is>
      </c>
      <c r="B30" s="9" t="inlineStr">
        <is>
          <t>CIP concentration setting</t>
        </is>
      </c>
      <c r="C30" s="9" t="inlineStr">
        <is>
          <t>%</t>
        </is>
      </c>
      <c r="D30" s="9" t="inlineStr">
        <is>
          <t>a number</t>
        </is>
      </c>
      <c r="E30" s="9" t="n"/>
      <c r="F30" s="9" t="inlineStr">
        <is>
          <t>a setting</t>
        </is>
      </c>
      <c r="G30" s="9" t="n">
        <v>0</v>
      </c>
      <c r="H30" s="9" t="n">
        <v>100</v>
      </c>
    </row>
    <row r="31">
      <c r="A31" t="inlineStr">
        <is>
          <t>cold-room-temp</t>
        </is>
      </c>
      <c r="B31" t="inlineStr">
        <is>
          <t>Chilled store temperature</t>
        </is>
      </c>
      <c r="C31" t="inlineStr">
        <is>
          <t>C</t>
        </is>
      </c>
      <c r="D31" t="inlineStr">
        <is>
          <t>a number</t>
        </is>
      </c>
      <c r="E31" t="n">
        <v>5</v>
      </c>
      <c r="F31" t="inlineStr">
        <is>
          <t>temperature</t>
        </is>
      </c>
      <c r="G31" t="n">
        <v>-40</v>
      </c>
      <c r="H31" t="n">
        <v>60</v>
      </c>
    </row>
    <row r="32">
      <c r="A32" t="inlineStr">
        <is>
          <t>freezer-door</t>
        </is>
      </c>
      <c r="B32" t="inlineStr">
        <is>
          <t>Freezer door open</t>
        </is>
      </c>
      <c r="D32" t="inlineStr">
        <is>
          <t>yes/no</t>
        </is>
      </c>
      <c r="F32" t="inlineStr">
        <is>
          <t>other</t>
        </is>
      </c>
    </row>
    <row r="33">
      <c r="A33" t="inlineStr">
        <is>
          <t>dock-door</t>
        </is>
      </c>
      <c r="B33" t="inlineStr">
        <is>
          <t>Loading dock door open</t>
        </is>
      </c>
      <c r="D33" t="inlineStr">
        <is>
          <t>yes/no</t>
        </is>
      </c>
      <c r="F33" t="inlineStr">
        <is>
          <t>other</t>
        </is>
      </c>
    </row>
    <row r="34">
      <c r="A34" t="inlineStr">
        <is>
          <t>selector-position</t>
        </is>
      </c>
      <c r="B34" t="inlineStr">
        <is>
          <t>Line selector position</t>
        </is>
      </c>
      <c r="D34" t="inlineStr">
        <is>
          <t>a category</t>
        </is>
      </c>
      <c r="F34" t="inlineStr">
        <is>
          <t>other</t>
        </is>
      </c>
    </row>
    <row r="35">
      <c r="A35" t="inlineStr">
        <is>
          <t>hygiene-zone-grade</t>
        </is>
      </c>
      <c r="B35" t="inlineStr">
        <is>
          <t>Hygiene zone grade</t>
        </is>
      </c>
      <c r="D35" t="inlineStr">
        <is>
          <t>a grade</t>
        </is>
      </c>
      <c r="F35" t="inlineStr">
        <is>
          <t>other</t>
        </is>
      </c>
    </row>
    <row r="36">
      <c r="A36" t="inlineStr">
        <is>
          <t>time-outside-freezer</t>
        </is>
      </c>
      <c r="B36" t="inlineStr">
        <is>
          <t>Time outside freezer</t>
        </is>
      </c>
      <c r="C36" t="inlineStr">
        <is>
          <t>min</t>
        </is>
      </c>
      <c r="D36" t="inlineStr">
        <is>
          <t>a number</t>
        </is>
      </c>
      <c r="F36" t="inlineStr">
        <is>
          <t>time</t>
        </is>
      </c>
      <c r="G36" t="n">
        <v>0</v>
      </c>
      <c r="H36" t="n">
        <v>480</v>
      </c>
    </row>
  </sheetData>
  <dataValidations count="2">
    <dataValidation sqref="D4:D400" showDropDown="0" showInputMessage="0" showErrorMessage="0" allowBlank="1" errorTitle="Kind of value" error="Pick one of the listed values." type="list">
      <formula1>"a number,yes/no,a category,a grade"</formula1>
    </dataValidation>
    <dataValidation sqref="F4:F400" showDropDown="0" showInputMessage="0" showErrorMessage="0" allowBlank="1" errorTitle="What it measures" error="Pick one of the listed values." type="list">
      <formula1>"temperature,humidity,pressure,flow,composition,speed,weight,count,time,cost,a setting,other"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1F3864"/>
    <outlinePr summaryBelow="1" summaryRight="1"/>
    <pageSetUpPr/>
  </sheetPr>
  <dimension ref="A1:J8"/>
  <sheetViews>
    <sheetView workbookViewId="0">
      <pane ySplit="3" topLeftCell="A4" activePane="bottomLeft" state="frozen"/>
      <selection pane="bottomLeft" activeCell="A1" sqref="A1"/>
    </sheetView>
  </sheetViews>
  <sheetFormatPr baseColWidth="8" defaultRowHeight="15"/>
  <cols>
    <col width="11" customWidth="1" min="1" max="1"/>
    <col width="23" customWidth="1" min="2" max="2"/>
    <col width="11" customWidth="1" min="3" max="3"/>
    <col width="11" customWidth="1" min="4" max="4"/>
    <col width="11" customWidth="1" min="5" max="5"/>
    <col width="11" customWidth="1" min="6" max="6"/>
    <col width="17" customWidth="1" min="7" max="7"/>
    <col width="17" customWidth="1" min="8" max="8"/>
    <col width="19" customWidth="1" min="9" max="9"/>
    <col width="11" customWidth="1" min="10" max="10"/>
  </cols>
  <sheetData>
    <row r="1">
      <c r="A1" s="1" t="inlineStr">
        <is>
          <t>What a product has to come out at, and which limits stop it shipping.</t>
        </is>
      </c>
    </row>
    <row r="2">
      <c r="A2" s="5" t="inlineStr">
        <is>
          <t>The two yes rows are the pasteurisation pair: hold at least 15 seconds, at least 72 C. Miss either and the lot cannot be sold, however good it tastes.</t>
        </is>
      </c>
    </row>
    <row r="3">
      <c r="A3" s="7" t="inlineStr">
        <is>
          <t>Product</t>
        </is>
      </c>
      <c r="B3" s="7" t="inlineStr">
        <is>
          <t>Measurement</t>
        </is>
      </c>
      <c r="C3" s="8" t="inlineStr">
        <is>
          <t>Min</t>
        </is>
      </c>
      <c r="D3" s="8" t="inlineStr">
        <is>
          <t>Target</t>
        </is>
      </c>
      <c r="E3" s="8" t="inlineStr">
        <is>
          <t>Max</t>
        </is>
      </c>
      <c r="F3" s="7" t="inlineStr">
        <is>
          <t>Unit</t>
        </is>
      </c>
      <c r="G3" s="8" t="inlineStr">
        <is>
          <t>Stops release</t>
        </is>
      </c>
      <c r="H3" s="7" t="inlineStr">
        <is>
          <t>In force from</t>
        </is>
      </c>
      <c r="I3" s="8" t="inlineStr">
        <is>
          <t>Set by</t>
        </is>
      </c>
      <c r="J3" s="8" t="inlineStr">
        <is>
          <t>Delete?</t>
        </is>
      </c>
    </row>
    <row r="4">
      <c r="A4" t="inlineStr">
        <is>
          <t>PRD001</t>
        </is>
      </c>
      <c r="B4" t="inlineStr">
        <is>
          <t>fat</t>
        </is>
      </c>
      <c r="C4" t="n">
        <v>3.4</v>
      </c>
      <c r="D4" t="n">
        <v>3.6</v>
      </c>
      <c r="E4" t="n">
        <v>3.8</v>
      </c>
      <c r="F4" t="inlineStr">
        <is>
          <t>%</t>
        </is>
      </c>
      <c r="H4" s="10" t="n">
        <v>46023</v>
      </c>
    </row>
    <row r="5">
      <c r="A5" t="inlineStr">
        <is>
          <t>PRD001</t>
        </is>
      </c>
      <c r="B5" t="inlineStr">
        <is>
          <t>ph</t>
        </is>
      </c>
      <c r="C5" t="n">
        <v>4.1</v>
      </c>
      <c r="D5" t="n">
        <v>4.3</v>
      </c>
      <c r="E5" t="n">
        <v>4.5</v>
      </c>
      <c r="F5" t="inlineStr">
        <is>
          <t>pH</t>
        </is>
      </c>
      <c r="H5" s="10" t="n">
        <v>46023</v>
      </c>
    </row>
    <row r="6">
      <c r="A6" t="inlineStr">
        <is>
          <t>PRD001</t>
        </is>
      </c>
      <c r="B6" t="inlineStr">
        <is>
          <t>moisture</t>
        </is>
      </c>
      <c r="E6" t="n">
        <v>84</v>
      </c>
      <c r="F6" t="inlineStr">
        <is>
          <t>%</t>
        </is>
      </c>
      <c r="H6" s="10" t="n">
        <v>46023</v>
      </c>
    </row>
    <row r="7">
      <c r="A7" t="inlineStr">
        <is>
          <t>PRD001</t>
        </is>
      </c>
      <c r="B7" t="inlineStr">
        <is>
          <t>hold-time</t>
        </is>
      </c>
      <c r="C7" t="n">
        <v>15</v>
      </c>
      <c r="F7" t="inlineStr">
        <is>
          <t>s</t>
        </is>
      </c>
      <c r="G7" t="inlineStr">
        <is>
          <t>yes</t>
        </is>
      </c>
      <c r="H7" s="10" t="n">
        <v>46023</v>
      </c>
      <c r="I7" t="inlineStr">
        <is>
          <t>HACCP plan rev 7</t>
        </is>
      </c>
    </row>
    <row r="8">
      <c r="A8" t="inlineStr">
        <is>
          <t>PRD001</t>
        </is>
      </c>
      <c r="B8" t="inlineStr">
        <is>
          <t>product-temp-holding</t>
        </is>
      </c>
      <c r="C8" t="n">
        <v>72</v>
      </c>
      <c r="F8" t="inlineStr">
        <is>
          <t>C</t>
        </is>
      </c>
      <c r="G8" t="inlineStr">
        <is>
          <t>yes</t>
        </is>
      </c>
      <c r="H8" s="10" t="n">
        <v>46023</v>
      </c>
      <c r="I8" t="inlineStr">
        <is>
          <t>HACCP plan rev 7</t>
        </is>
      </c>
    </row>
  </sheetData>
  <dataValidations count="3">
    <dataValidation sqref="A4:A400" showDropDown="0" showInputMessage="0" showErrorMessage="0" allowBlank="1" errorTitle="Product" error="Pick one of the listed values." type="list">
      <formula1>=Products_</formula1>
    </dataValidation>
    <dataValidation sqref="B4:B400" showDropDown="0" showInputMessage="0" showErrorMessage="0" allowBlank="1" errorTitle="Measurement" error="Pick one of the listed values." type="list">
      <formula1>=Measurements_</formula1>
    </dataValidation>
    <dataValidation sqref="G4:G400" showDropDown="0" showInputMessage="0" showErrorMessage="0" allowBlank="1" errorTitle="Stops release" error="Pick one of the listed values." type="list">
      <formula1>"yes"</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1F3864"/>
    <outlinePr summaryBelow="1" summaryRight="1"/>
    <pageSetUpPr/>
  </sheetPr>
  <dimension ref="A1:I7"/>
  <sheetViews>
    <sheetView workbookViewId="0">
      <pane ySplit="3" topLeftCell="A4" activePane="bottomLeft" state="frozen"/>
      <selection pane="bottomLeft" activeCell="A1" sqref="A1"/>
    </sheetView>
  </sheetViews>
  <sheetFormatPr baseColWidth="8" defaultRowHeight="15"/>
  <cols>
    <col width="11" customWidth="1" min="1" max="1"/>
    <col width="23" customWidth="1" min="2" max="2"/>
    <col width="11" customWidth="1" min="3" max="3"/>
    <col width="11" customWidth="1" min="4" max="4"/>
    <col width="11" customWidth="1" min="5" max="5"/>
    <col width="11" customWidth="1" min="6" max="6"/>
    <col width="17" customWidth="1" min="7" max="7"/>
    <col width="24" customWidth="1" min="8" max="8"/>
    <col width="11" customWidth="1" min="9" max="9"/>
  </cols>
  <sheetData>
    <row r="1">
      <c r="A1" s="1" t="inlineStr">
        <is>
          <t>What a cold room, a freezer or a filling hall is supposed to sit at.</t>
        </is>
      </c>
    </row>
    <row r="2">
      <c r="A2" s="5" t="inlineStr">
        <is>
          <t>Recording a temperature says what it was. Filling this in is what lets anyone say whether it was where it should have been.</t>
        </is>
      </c>
    </row>
    <row r="3">
      <c r="A3" s="7" t="inlineStr">
        <is>
          <t>Where</t>
        </is>
      </c>
      <c r="B3" s="7" t="inlineStr">
        <is>
          <t>Measurement</t>
        </is>
      </c>
      <c r="C3" s="8" t="inlineStr">
        <is>
          <t>Min</t>
        </is>
      </c>
      <c r="D3" s="8" t="inlineStr">
        <is>
          <t>Target</t>
        </is>
      </c>
      <c r="E3" s="8" t="inlineStr">
        <is>
          <t>Max</t>
        </is>
      </c>
      <c r="F3" s="7" t="inlineStr">
        <is>
          <t>Unit</t>
        </is>
      </c>
      <c r="G3" s="7" t="inlineStr">
        <is>
          <t>In force from</t>
        </is>
      </c>
      <c r="H3" s="8" t="inlineStr">
        <is>
          <t>Set by</t>
        </is>
      </c>
      <c r="I3" s="8" t="inlineStr">
        <is>
          <t>Delete?</t>
        </is>
      </c>
    </row>
    <row r="4">
      <c r="A4" t="inlineStr">
        <is>
          <t>ROOM-01</t>
        </is>
      </c>
      <c r="B4" t="inlineStr">
        <is>
          <t>cold-room-temp</t>
        </is>
      </c>
      <c r="C4" t="n">
        <v>2</v>
      </c>
      <c r="D4" t="n">
        <v>4</v>
      </c>
      <c r="E4" t="n">
        <v>6</v>
      </c>
      <c r="F4" t="inlineStr">
        <is>
          <t>C</t>
        </is>
      </c>
      <c r="G4" s="10" t="n">
        <v>46023</v>
      </c>
      <c r="H4" t="inlineStr">
        <is>
          <t>Chill chain policy</t>
        </is>
      </c>
    </row>
    <row r="5">
      <c r="A5" t="inlineStr">
        <is>
          <t>FRZ-01</t>
        </is>
      </c>
      <c r="B5" t="inlineStr">
        <is>
          <t>time-outside-freezer</t>
        </is>
      </c>
      <c r="E5" t="n">
        <v>30</v>
      </c>
      <c r="F5" t="inlineStr">
        <is>
          <t>min</t>
        </is>
      </c>
      <c r="G5" s="10" t="n">
        <v>46023</v>
      </c>
    </row>
    <row r="6">
      <c r="A6" t="inlineStr">
        <is>
          <t>LINE001</t>
        </is>
      </c>
      <c r="B6" t="inlineStr">
        <is>
          <t>ambient-temp</t>
        </is>
      </c>
      <c r="E6" t="n">
        <v>8</v>
      </c>
      <c r="F6" t="inlineStr">
        <is>
          <t>C</t>
        </is>
      </c>
      <c r="G6" s="10" t="n">
        <v>46023</v>
      </c>
      <c r="H6" t="inlineStr">
        <is>
          <t>Filling hall standard</t>
        </is>
      </c>
    </row>
    <row r="7">
      <c r="A7" t="inlineStr">
        <is>
          <t>LINE001</t>
        </is>
      </c>
      <c r="B7" t="inlineStr">
        <is>
          <t>ambient-humidity</t>
        </is>
      </c>
      <c r="E7" t="n">
        <v>75</v>
      </c>
      <c r="F7" t="inlineStr">
        <is>
          <t>%rh</t>
        </is>
      </c>
      <c r="G7" s="10" t="n">
        <v>46023</v>
      </c>
    </row>
  </sheetData>
  <dataValidations count="2">
    <dataValidation sqref="A4:A400" showDropDown="0" showInputMessage="0" showErrorMessage="0" allowBlank="1" errorTitle="Where" error="Pick one of the listed values." type="list">
      <formula1>=Anywhere_</formula1>
    </dataValidation>
    <dataValidation sqref="B4:B400" showDropDown="0" showInputMessage="0" showErrorMessage="0" allowBlank="1" errorTitle="Measurement" error="Pick one of the listed values." type="list">
      <formula1>=Measurements_</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1F3864"/>
    <outlinePr summaryBelow="1" summaryRight="1"/>
    <pageSetUpPr/>
  </sheetPr>
  <dimension ref="A1:G5"/>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11" customWidth="1" min="3" max="3"/>
    <col width="11" customWidth="1" min="4" max="4"/>
    <col width="11" customWidth="1" min="5" max="5"/>
    <col width="17" customWidth="1" min="6" max="6"/>
    <col width="11" customWidth="1" min="7" max="7"/>
  </cols>
  <sheetData>
    <row r="1">
      <c r="A1" s="1" t="inlineStr">
        <is>
          <t>What you accept a delivery at.</t>
        </is>
      </c>
    </row>
    <row r="2">
      <c r="A2" s="5" t="inlineStr">
        <is>
          <t>Not yet accepted by Pulse — the model allows limits on products only for now, so these rows are rejected rather than quietly dropped. Fill them in anyway; they load as soon as it is lifted.</t>
        </is>
      </c>
    </row>
    <row r="3">
      <c r="A3" s="7" t="inlineStr">
        <is>
          <t>Material</t>
        </is>
      </c>
      <c r="B3" s="7" t="inlineStr">
        <is>
          <t>Measurement</t>
        </is>
      </c>
      <c r="C3" s="8" t="inlineStr">
        <is>
          <t>Min</t>
        </is>
      </c>
      <c r="D3" s="8" t="inlineStr">
        <is>
          <t>Max</t>
        </is>
      </c>
      <c r="E3" s="7" t="inlineStr">
        <is>
          <t>Unit</t>
        </is>
      </c>
      <c r="F3" s="7" t="inlineStr">
        <is>
          <t>In force from</t>
        </is>
      </c>
      <c r="G3" s="8" t="inlineStr">
        <is>
          <t>Delete?</t>
        </is>
      </c>
    </row>
    <row r="4">
      <c r="A4" t="inlineStr">
        <is>
          <t>MAT0001</t>
        </is>
      </c>
      <c r="B4" t="inlineStr">
        <is>
          <t>protein</t>
        </is>
      </c>
      <c r="C4" t="n">
        <v>3.1</v>
      </c>
      <c r="E4" t="inlineStr">
        <is>
          <t>%</t>
        </is>
      </c>
      <c r="F4" s="10" t="n">
        <v>46023</v>
      </c>
    </row>
    <row r="5">
      <c r="A5" t="inlineStr">
        <is>
          <t>MAT0001</t>
        </is>
      </c>
      <c r="B5" t="inlineStr">
        <is>
          <t>fat</t>
        </is>
      </c>
      <c r="C5" t="n">
        <v>3.5</v>
      </c>
      <c r="D5" t="n">
        <v>4.2</v>
      </c>
      <c r="E5" t="inlineStr">
        <is>
          <t>%</t>
        </is>
      </c>
      <c r="F5" s="10" t="n">
        <v>46023</v>
      </c>
    </row>
  </sheetData>
  <dataValidations count="2">
    <dataValidation sqref="A4:A400" showDropDown="0" showInputMessage="0" showErrorMessage="0" allowBlank="1" errorTitle="Material" error="Pick one of the listed values." type="list">
      <formula1>=Materials_</formula1>
    </dataValidation>
    <dataValidation sqref="B4:B400" showDropDown="0" showInputMessage="0" showErrorMessage="0" allowBlank="1" errorTitle="Measurement" error="Pick one of the listed values." type="list">
      <formula1>=Measurements_</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1F3864"/>
    <outlinePr summaryBelow="1" summaryRight="1"/>
    <pageSetUpPr/>
  </sheetPr>
  <dimension ref="A1:C8"/>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11" customWidth="1" min="3" max="3"/>
  </cols>
  <sheetData>
    <row r="1">
      <c r="A1" s="1" t="inlineStr">
        <is>
          <t>The kinds of clean you do.</t>
        </is>
      </c>
    </row>
    <row r="3">
      <c r="A3" s="7" t="inlineStr">
        <is>
          <t>Code</t>
        </is>
      </c>
      <c r="B3" s="7" t="inlineStr">
        <is>
          <t>Name</t>
        </is>
      </c>
      <c r="C3" s="8" t="inlineStr">
        <is>
          <t>Delete?</t>
        </is>
      </c>
    </row>
    <row r="4">
      <c r="A4" t="inlineStr">
        <is>
          <t>rinse</t>
        </is>
      </c>
      <c r="B4" t="inlineStr">
        <is>
          <t>Water rinse</t>
        </is>
      </c>
    </row>
    <row r="5">
      <c r="A5" t="inlineStr">
        <is>
          <t>dry-clean</t>
        </is>
      </c>
      <c r="B5" t="inlineStr">
        <is>
          <t>Dry clean</t>
        </is>
      </c>
    </row>
    <row r="6">
      <c r="A6" t="inlineStr">
        <is>
          <t>wet-clean</t>
        </is>
      </c>
      <c r="B6" t="inlineStr">
        <is>
          <t>Wet clean</t>
        </is>
      </c>
    </row>
    <row r="7">
      <c r="A7" t="inlineStr">
        <is>
          <t>full-cip</t>
        </is>
      </c>
      <c r="B7" t="inlineStr">
        <is>
          <t>Full clean-in-place</t>
        </is>
      </c>
    </row>
    <row r="8">
      <c r="A8" t="inlineStr">
        <is>
          <t>allergen-cip</t>
        </is>
      </c>
      <c r="B8" t="inlineStr">
        <is>
          <t>Allergen CIP</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1F3864"/>
    <outlinePr summaryBelow="1" summaryRight="1"/>
    <pageSetUpPr/>
  </sheetPr>
  <dimension ref="A1:E5"/>
  <sheetViews>
    <sheetView workbookViewId="0">
      <pane ySplit="3" topLeftCell="A4" activePane="bottomLeft" state="frozen"/>
      <selection pane="bottomLeft" activeCell="A1" sqref="A1"/>
    </sheetView>
  </sheetViews>
  <sheetFormatPr baseColWidth="8" defaultRowHeight="15"/>
  <cols>
    <col width="22" customWidth="1" min="1" max="1"/>
    <col width="23" customWidth="1" min="2" max="2"/>
    <col width="19" customWidth="1" min="3" max="3"/>
    <col width="20" customWidth="1" min="4" max="4"/>
    <col width="11" customWidth="1" min="5" max="5"/>
  </cols>
  <sheetData>
    <row r="1">
      <c r="A1" s="1" t="inlineStr">
        <is>
          <t>Which clean a changeover needs, and how long it should take.</t>
        </is>
      </c>
    </row>
    <row r="2">
      <c r="A2" s="5" t="inlineStr">
        <is>
          <t>110 minutes is not a finding. 110 against an expected 95, on this changeover, over and over, is. Note the pair is not symmetric: allergen product before allergen-free needs a validated clean, and the other way round does not.</t>
        </is>
      </c>
    </row>
    <row r="3">
      <c r="A3" s="7" t="inlineStr">
        <is>
          <t>After this product</t>
        </is>
      </c>
      <c r="B3" s="7" t="inlineStr">
        <is>
          <t>Before this product</t>
        </is>
      </c>
      <c r="C3" s="7" t="inlineStr">
        <is>
          <t>Cleaning regime</t>
        </is>
      </c>
      <c r="D3" s="7" t="inlineStr">
        <is>
          <t>Expected minutes</t>
        </is>
      </c>
      <c r="E3" s="8" t="inlineStr">
        <is>
          <t>Delete?</t>
        </is>
      </c>
    </row>
    <row r="4">
      <c r="A4" t="inlineStr">
        <is>
          <t>PRD001</t>
        </is>
      </c>
      <c r="B4" t="inlineStr">
        <is>
          <t>PRD044</t>
        </is>
      </c>
      <c r="C4" t="inlineStr">
        <is>
          <t>allergen-cip</t>
        </is>
      </c>
      <c r="D4" t="n">
        <v>95</v>
      </c>
    </row>
    <row r="5">
      <c r="A5" t="inlineStr">
        <is>
          <t>PRD044</t>
        </is>
      </c>
      <c r="B5" t="inlineStr">
        <is>
          <t>PRD001</t>
        </is>
      </c>
      <c r="C5" t="inlineStr">
        <is>
          <t>rinse</t>
        </is>
      </c>
      <c r="D5" t="n">
        <v>20</v>
      </c>
    </row>
  </sheetData>
  <dataValidations count="3">
    <dataValidation sqref="A4:A400" showDropDown="0" showInputMessage="0" showErrorMessage="0" allowBlank="1" errorTitle="After this product" error="Pick one of the listed values." type="list">
      <formula1>=Products_</formula1>
    </dataValidation>
    <dataValidation sqref="B4:B400" showDropDown="0" showInputMessage="0" showErrorMessage="0" allowBlank="1" errorTitle="Before this product" error="Pick one of the listed values." type="list">
      <formula1>=Products_</formula1>
    </dataValidation>
    <dataValidation sqref="C4:C400" showDropDown="0" showInputMessage="0" showErrorMessage="0" allowBlank="1" errorTitle="Cleaning regime" error="Pick one of the listed values." type="list">
      <formula1>=Regimes_</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1F3864"/>
    <outlinePr summaryBelow="1" summaryRight="1"/>
    <pageSetUpPr/>
  </sheetPr>
  <dimension ref="A1:D34"/>
  <sheetViews>
    <sheetView workbookViewId="0">
      <pane ySplit="3" topLeftCell="A4" activePane="bottomLeft" state="frozen"/>
      <selection pane="bottomLeft" activeCell="A1" sqref="A1"/>
    </sheetView>
  </sheetViews>
  <sheetFormatPr baseColWidth="8" defaultRowHeight="15"/>
  <cols>
    <col width="27" customWidth="1" min="1" max="1"/>
    <col width="32" customWidth="1" min="2" max="2"/>
    <col width="17" customWidth="1" min="3" max="3"/>
    <col width="11" customWidth="1" min="4" max="4"/>
  </cols>
  <sheetData>
    <row r="1">
      <c r="A1" s="1" t="inlineStr">
        <is>
          <t>Why things stop, deviate, or get complained about. One list for all three.</t>
        </is>
      </c>
    </row>
    <row r="2">
      <c r="A2" s="5" t="inlineStr">
        <is>
          <t>Complaint causes sit in the same list as stoppage causes on purpose — that is what makes 'the cause behind these complaints is the cause behind those stoppages' one question instead of two.</t>
        </is>
      </c>
    </row>
    <row r="3">
      <c r="A3" s="7" t="inlineStr">
        <is>
          <t>Code</t>
        </is>
      </c>
      <c r="B3" s="7" t="inlineStr">
        <is>
          <t>Name</t>
        </is>
      </c>
      <c r="C3" s="8" t="inlineStr">
        <is>
          <t>Belongs to</t>
        </is>
      </c>
      <c r="D3" s="8" t="inlineStr">
        <is>
          <t>Delete?</t>
        </is>
      </c>
    </row>
    <row r="4">
      <c r="A4" t="inlineStr">
        <is>
          <t>DTC01</t>
        </is>
      </c>
      <c r="B4" t="inlineStr">
        <is>
          <t>Equipment reliability loss</t>
        </is>
      </c>
    </row>
    <row r="5">
      <c r="A5" t="inlineStr">
        <is>
          <t>DTCU001</t>
        </is>
      </c>
      <c r="B5" t="inlineStr">
        <is>
          <t>Worn mechanical seal</t>
        </is>
      </c>
      <c r="C5" t="inlineStr">
        <is>
          <t>DTC01</t>
        </is>
      </c>
    </row>
    <row r="6">
      <c r="A6" t="inlineStr">
        <is>
          <t>DTCU010</t>
        </is>
      </c>
      <c r="B6" t="inlineStr">
        <is>
          <t>Filler nozzle blocked</t>
        </is>
      </c>
      <c r="C6" t="inlineStr">
        <is>
          <t>DTC01</t>
        </is>
      </c>
    </row>
    <row r="7">
      <c r="A7" t="inlineStr">
        <is>
          <t>DTC02</t>
        </is>
      </c>
      <c r="B7" t="inlineStr">
        <is>
          <t>Process control loss</t>
        </is>
      </c>
    </row>
    <row r="8">
      <c r="A8" t="inlineStr">
        <is>
          <t>DTCU016</t>
        </is>
      </c>
      <c r="B8" t="inlineStr">
        <is>
          <t>Pasteurizer temperature deviation</t>
        </is>
      </c>
      <c r="C8" t="inlineStr">
        <is>
          <t>DTC02</t>
        </is>
      </c>
    </row>
    <row r="9">
      <c r="A9" t="inlineStr">
        <is>
          <t>DTC03</t>
        </is>
      </c>
      <c r="B9" t="inlineStr">
        <is>
          <t>Quality hold and food safety</t>
        </is>
      </c>
    </row>
    <row r="10">
      <c r="A10" t="inlineStr">
        <is>
          <t>CMP-SAFETY</t>
        </is>
      </c>
      <c r="B10" t="inlineStr">
        <is>
          <t>Food safety</t>
        </is>
      </c>
    </row>
    <row r="11">
      <c r="A11" t="inlineStr">
        <is>
          <t>CMP-FOREIGN-BODY</t>
        </is>
      </c>
      <c r="B11" t="inlineStr">
        <is>
          <t>Foreign body</t>
        </is>
      </c>
      <c r="C11" t="inlineStr">
        <is>
          <t>CMP-SAFETY</t>
        </is>
      </c>
    </row>
    <row r="12">
      <c r="A12" t="inlineStr">
        <is>
          <t>CMP-MICROBIOLOGICAL</t>
        </is>
      </c>
      <c r="B12" t="inlineStr">
        <is>
          <t>Microbiological</t>
        </is>
      </c>
      <c r="C12" t="inlineStr">
        <is>
          <t>CMP-SAFETY</t>
        </is>
      </c>
    </row>
    <row r="13">
      <c r="A13" t="inlineStr">
        <is>
          <t>CMP-ALLERGEN</t>
        </is>
      </c>
      <c r="B13" t="inlineStr">
        <is>
          <t>Undeclared allergen</t>
        </is>
      </c>
      <c r="C13" t="inlineStr">
        <is>
          <t>CMP-SAFETY</t>
        </is>
      </c>
    </row>
    <row r="14">
      <c r="A14" t="inlineStr">
        <is>
          <t>CMP-CHEMICAL</t>
        </is>
      </c>
      <c r="B14" t="inlineStr">
        <is>
          <t>Chemical contamination</t>
        </is>
      </c>
      <c r="C14" t="inlineStr">
        <is>
          <t>CMP-SAFETY</t>
        </is>
      </c>
    </row>
    <row r="15">
      <c r="A15" t="inlineStr">
        <is>
          <t>CMP-SENSORY</t>
        </is>
      </c>
      <c r="B15" t="inlineStr">
        <is>
          <t>Sensory</t>
        </is>
      </c>
    </row>
    <row r="16">
      <c r="A16" t="inlineStr">
        <is>
          <t>CMP-OFF-TASTE</t>
        </is>
      </c>
      <c r="B16" t="inlineStr">
        <is>
          <t>Off taste</t>
        </is>
      </c>
      <c r="C16" t="inlineStr">
        <is>
          <t>CMP-SENSORY</t>
        </is>
      </c>
    </row>
    <row r="17">
      <c r="A17" t="inlineStr">
        <is>
          <t>CMP-OFF-ODOUR</t>
        </is>
      </c>
      <c r="B17" t="inlineStr">
        <is>
          <t>Off odour</t>
        </is>
      </c>
      <c r="C17" t="inlineStr">
        <is>
          <t>CMP-SENSORY</t>
        </is>
      </c>
    </row>
    <row r="18">
      <c r="A18" t="inlineStr">
        <is>
          <t>CMP-TEXTURE</t>
        </is>
      </c>
      <c r="B18" t="inlineStr">
        <is>
          <t>Texture defect</t>
        </is>
      </c>
      <c r="C18" t="inlineStr">
        <is>
          <t>CMP-SENSORY</t>
        </is>
      </c>
    </row>
    <row r="19">
      <c r="A19" t="inlineStr">
        <is>
          <t>CMP-APPEARANCE</t>
        </is>
      </c>
      <c r="B19" t="inlineStr">
        <is>
          <t>Appearance defect</t>
        </is>
      </c>
      <c r="C19" t="inlineStr">
        <is>
          <t>CMP-SENSORY</t>
        </is>
      </c>
    </row>
    <row r="20">
      <c r="A20" t="inlineStr">
        <is>
          <t>CMP-QUANTITY</t>
        </is>
      </c>
      <c r="B20" t="inlineStr">
        <is>
          <t>Quantity</t>
        </is>
      </c>
    </row>
    <row r="21">
      <c r="A21" t="inlineStr">
        <is>
          <t>CMP-UNDERWEIGHT</t>
        </is>
      </c>
      <c r="B21" t="inlineStr">
        <is>
          <t>Underweight</t>
        </is>
      </c>
      <c r="C21" t="inlineStr">
        <is>
          <t>CMP-QUANTITY</t>
        </is>
      </c>
    </row>
    <row r="22">
      <c r="A22" t="inlineStr">
        <is>
          <t>CMP-SHORT-COUNT</t>
        </is>
      </c>
      <c r="B22" t="inlineStr">
        <is>
          <t>Short count</t>
        </is>
      </c>
      <c r="C22" t="inlineStr">
        <is>
          <t>CMP-QUANTITY</t>
        </is>
      </c>
    </row>
    <row r="23">
      <c r="A23" t="inlineStr">
        <is>
          <t>CMP-PACKAGING</t>
        </is>
      </c>
      <c r="B23" t="inlineStr">
        <is>
          <t>Packaging</t>
        </is>
      </c>
    </row>
    <row r="24">
      <c r="A24" t="inlineStr">
        <is>
          <t>CMP-SEAL-FAILURE</t>
        </is>
      </c>
      <c r="B24" t="inlineStr">
        <is>
          <t>Seal failure</t>
        </is>
      </c>
      <c r="C24" t="inlineStr">
        <is>
          <t>CMP-PACKAGING</t>
        </is>
      </c>
    </row>
    <row r="25">
      <c r="A25" t="inlineStr">
        <is>
          <t>CMP-DAMAGE-TRANSIT</t>
        </is>
      </c>
      <c r="B25" t="inlineStr">
        <is>
          <t>Transit damage</t>
        </is>
      </c>
      <c r="C25" t="inlineStr">
        <is>
          <t>CMP-PACKAGING</t>
        </is>
      </c>
    </row>
    <row r="26">
      <c r="A26" t="inlineStr">
        <is>
          <t>CMP-LABEL-ERROR</t>
        </is>
      </c>
      <c r="B26" t="inlineStr">
        <is>
          <t>Label error</t>
        </is>
      </c>
      <c r="C26" t="inlineStr">
        <is>
          <t>CMP-PACKAGING</t>
        </is>
      </c>
    </row>
    <row r="27">
      <c r="A27" t="inlineStr">
        <is>
          <t>CMP-DATE-CODE</t>
        </is>
      </c>
      <c r="B27" t="inlineStr">
        <is>
          <t>Date code error</t>
        </is>
      </c>
      <c r="C27" t="inlineStr">
        <is>
          <t>CMP-PACKAGING</t>
        </is>
      </c>
    </row>
    <row r="28">
      <c r="A28" t="inlineStr">
        <is>
          <t>CMP-SHELF-LIFE</t>
        </is>
      </c>
      <c r="B28" t="inlineStr">
        <is>
          <t>Shelf life</t>
        </is>
      </c>
    </row>
    <row r="29">
      <c r="A29" t="inlineStr">
        <is>
          <t>CMP-EARLY-SPOILAGE</t>
        </is>
      </c>
      <c r="B29" t="inlineStr">
        <is>
          <t>Early spoilage</t>
        </is>
      </c>
      <c r="C29" t="inlineStr">
        <is>
          <t>CMP-SHELF-LIFE</t>
        </is>
      </c>
    </row>
    <row r="30">
      <c r="A30" t="inlineStr">
        <is>
          <t>CMP-SHORT-REMAINING-LIFE</t>
        </is>
      </c>
      <c r="B30" t="inlineStr">
        <is>
          <t>Short remaining life on delivery</t>
        </is>
      </c>
      <c r="C30" t="inlineStr">
        <is>
          <t>CMP-SHELF-LIFE</t>
        </is>
      </c>
    </row>
    <row r="31">
      <c r="A31" t="inlineStr">
        <is>
          <t>CMP-SERVICE</t>
        </is>
      </c>
      <c r="B31" t="inlineStr">
        <is>
          <t>Service</t>
        </is>
      </c>
    </row>
    <row r="32">
      <c r="A32" t="inlineStr">
        <is>
          <t>CMP-WRONG-PRODUCT</t>
        </is>
      </c>
      <c r="B32" t="inlineStr">
        <is>
          <t>Wrong product shipped</t>
        </is>
      </c>
      <c r="C32" t="inlineStr">
        <is>
          <t>CMP-SERVICE</t>
        </is>
      </c>
    </row>
    <row r="33">
      <c r="A33" t="inlineStr">
        <is>
          <t>CMP-LATE-DELIVERY</t>
        </is>
      </c>
      <c r="B33" t="inlineStr">
        <is>
          <t>Late delivery</t>
        </is>
      </c>
      <c r="C33" t="inlineStr">
        <is>
          <t>CMP-SERVICE</t>
        </is>
      </c>
    </row>
    <row r="34">
      <c r="A34" t="inlineStr">
        <is>
          <t>CMP-DOCUMENTATION</t>
        </is>
      </c>
      <c r="B34" t="inlineStr">
        <is>
          <t>Documentation error</t>
        </is>
      </c>
      <c r="C34" t="inlineStr">
        <is>
          <t>CMP-SERVICE</t>
        </is>
      </c>
    </row>
  </sheetData>
  <dataValidations count="1">
    <dataValidation sqref="C4:C400" showDropDown="0" showInputMessage="0" showErrorMessage="0" allowBlank="1" errorTitle="Belongs to" error="Pick one of the listed values." type="list">
      <formula1>=Reasons_</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1F3864"/>
    <outlinePr summaryBelow="1" summaryRight="1"/>
    <pageSetUpPr/>
  </sheetPr>
  <dimension ref="A1:E17"/>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1" customWidth="1" min="3" max="3"/>
    <col width="15" customWidth="1" min="4" max="4"/>
    <col width="11" customWidth="1" min="5" max="5"/>
  </cols>
  <sheetData>
    <row r="1">
      <c r="A1" s="1" t="inlineStr">
        <is>
          <t>The types you use to describe a material or a product.</t>
        </is>
      </c>
    </row>
    <row r="2">
      <c r="A2" s="5" t="inlineStr">
        <is>
          <t>You do not have to work out in advance which of these explains anything — finding that out is Pulse's job. Keep any one type under about 25 different values: a country, not a farm.</t>
        </is>
      </c>
    </row>
    <row r="3">
      <c r="A3" s="7" t="inlineStr">
        <is>
          <t>Type</t>
        </is>
      </c>
      <c r="B3" s="7" t="inlineStr">
        <is>
          <t>Applies to</t>
        </is>
      </c>
      <c r="C3" s="7" t="inlineStr">
        <is>
          <t>Code</t>
        </is>
      </c>
      <c r="D3" s="7" t="inlineStr">
        <is>
          <t>Name</t>
        </is>
      </c>
      <c r="E3" s="8" t="inlineStr">
        <is>
          <t>Delete?</t>
        </is>
      </c>
    </row>
    <row r="4">
      <c r="A4" t="inlineStr">
        <is>
          <t>Allergen</t>
        </is>
      </c>
      <c r="B4" t="inlineStr">
        <is>
          <t>materials</t>
        </is>
      </c>
      <c r="C4" t="inlineStr">
        <is>
          <t>ALG-MILK</t>
        </is>
      </c>
      <c r="D4" t="inlineStr">
        <is>
          <t>Milk</t>
        </is>
      </c>
    </row>
    <row r="5">
      <c r="A5" t="inlineStr">
        <is>
          <t>Allergen</t>
        </is>
      </c>
      <c r="B5" t="inlineStr">
        <is>
          <t>materials</t>
        </is>
      </c>
      <c r="C5" t="inlineStr">
        <is>
          <t>ALG-NUT</t>
        </is>
      </c>
      <c r="D5" t="inlineStr">
        <is>
          <t>Nuts</t>
        </is>
      </c>
    </row>
    <row r="6">
      <c r="A6" t="inlineStr">
        <is>
          <t>Allergen</t>
        </is>
      </c>
      <c r="B6" t="inlineStr">
        <is>
          <t>materials</t>
        </is>
      </c>
      <c r="C6" t="inlineStr">
        <is>
          <t>ALG-NONE</t>
        </is>
      </c>
      <c r="D6" t="inlineStr">
        <is>
          <t>None</t>
        </is>
      </c>
    </row>
    <row r="7">
      <c r="A7" t="inlineStr">
        <is>
          <t>Storage</t>
        </is>
      </c>
      <c r="B7" t="inlineStr">
        <is>
          <t>materials</t>
        </is>
      </c>
      <c r="C7" t="inlineStr">
        <is>
          <t>CHILLED</t>
        </is>
      </c>
      <c r="D7" t="inlineStr">
        <is>
          <t>Chilled 0-4C</t>
        </is>
      </c>
    </row>
    <row r="8">
      <c r="A8" t="inlineStr">
        <is>
          <t>Storage</t>
        </is>
      </c>
      <c r="B8" t="inlineStr">
        <is>
          <t>materials</t>
        </is>
      </c>
      <c r="C8" t="inlineStr">
        <is>
          <t>FROZEN</t>
        </is>
      </c>
      <c r="D8" t="inlineStr">
        <is>
          <t>Frozen</t>
        </is>
      </c>
    </row>
    <row r="9">
      <c r="A9" t="inlineStr">
        <is>
          <t>Storage</t>
        </is>
      </c>
      <c r="B9" t="inlineStr">
        <is>
          <t>materials</t>
        </is>
      </c>
      <c r="C9" t="inlineStr">
        <is>
          <t>AMBIENT</t>
        </is>
      </c>
      <c r="D9" t="inlineStr">
        <is>
          <t>Ambient</t>
        </is>
      </c>
    </row>
    <row r="10">
      <c r="A10" t="inlineStr">
        <is>
          <t>Origin</t>
        </is>
      </c>
      <c r="B10" t="inlineStr">
        <is>
          <t>materials</t>
        </is>
      </c>
      <c r="C10" t="inlineStr">
        <is>
          <t>SI</t>
        </is>
      </c>
      <c r="D10" t="inlineStr">
        <is>
          <t>Slovenia</t>
        </is>
      </c>
    </row>
    <row r="11">
      <c r="A11" t="inlineStr">
        <is>
          <t>Origin</t>
        </is>
      </c>
      <c r="B11" t="inlineStr">
        <is>
          <t>materials</t>
        </is>
      </c>
      <c r="C11" t="inlineStr">
        <is>
          <t>IT</t>
        </is>
      </c>
      <c r="D11" t="inlineStr">
        <is>
          <t>Italy</t>
        </is>
      </c>
    </row>
    <row r="12">
      <c r="A12" t="inlineStr">
        <is>
          <t>Origin</t>
        </is>
      </c>
      <c r="B12" t="inlineStr">
        <is>
          <t>materials</t>
        </is>
      </c>
      <c r="C12" t="inlineStr">
        <is>
          <t>DK</t>
        </is>
      </c>
      <c r="D12" t="inlineStr">
        <is>
          <t>Denmark</t>
        </is>
      </c>
    </row>
    <row r="13">
      <c r="A13" t="inlineStr">
        <is>
          <t>Origin</t>
        </is>
      </c>
      <c r="B13" t="inlineStr">
        <is>
          <t>materials</t>
        </is>
      </c>
      <c r="C13" t="inlineStr">
        <is>
          <t>DE</t>
        </is>
      </c>
      <c r="D13" t="inlineStr">
        <is>
          <t>Germany</t>
        </is>
      </c>
    </row>
    <row r="14">
      <c r="A14" t="inlineStr">
        <is>
          <t>Origin</t>
        </is>
      </c>
      <c r="B14" t="inlineStr">
        <is>
          <t>materials</t>
        </is>
      </c>
      <c r="C14" t="inlineStr">
        <is>
          <t>NO</t>
        </is>
      </c>
      <c r="D14" t="inlineStr">
        <is>
          <t>Norway</t>
        </is>
      </c>
    </row>
    <row r="15">
      <c r="A15" t="inlineStr">
        <is>
          <t>Pack format</t>
        </is>
      </c>
      <c r="B15" t="inlineStr">
        <is>
          <t>products</t>
        </is>
      </c>
      <c r="C15" t="inlineStr">
        <is>
          <t>CUP</t>
        </is>
      </c>
      <c r="D15" t="inlineStr">
        <is>
          <t>Cup</t>
        </is>
      </c>
    </row>
    <row r="16">
      <c r="A16" t="inlineStr">
        <is>
          <t>Pack format</t>
        </is>
      </c>
      <c r="B16" t="inlineStr">
        <is>
          <t>products</t>
        </is>
      </c>
      <c r="C16" t="inlineStr">
        <is>
          <t>POT</t>
        </is>
      </c>
      <c r="D16" t="inlineStr">
        <is>
          <t>Pot</t>
        </is>
      </c>
    </row>
    <row r="17">
      <c r="A17" t="inlineStr">
        <is>
          <t>Pack format</t>
        </is>
      </c>
      <c r="B17" t="inlineStr">
        <is>
          <t>products</t>
        </is>
      </c>
      <c r="C17" t="inlineStr">
        <is>
          <t>BOTTLE</t>
        </is>
      </c>
      <c r="D17" t="inlineStr">
        <is>
          <t>Bottle</t>
        </is>
      </c>
    </row>
  </sheetData>
  <dataValidations count="2">
    <dataValidation sqref="A4:A400" showDropDown="0" showInputMessage="0" showErrorMessage="0" allowBlank="1" errorTitle="Type" error="Pick one of the listed values." type="list">
      <formula1>"Allergen,Storage,Origin,Pack format"</formula1>
    </dataValidation>
    <dataValidation sqref="B4:B400" showDropDown="0" showInputMessage="0" showErrorMessage="0" allowBlank="1" errorTitle="Applies to" error="Pick one of the listed values." type="list">
      <formula1>"materials,products"</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2E7D32"/>
    <outlinePr summaryBelow="1" summaryRight="1"/>
    <pageSetUpPr/>
  </sheetPr>
  <dimension ref="A1:M11"/>
  <sheetViews>
    <sheetView workbookViewId="0">
      <pane ySplit="3" topLeftCell="A4" activePane="bottomLeft" state="frozen"/>
      <selection pane="bottomLeft" activeCell="A1" sqref="A1"/>
    </sheetView>
  </sheetViews>
  <sheetFormatPr baseColWidth="8" defaultRowHeight="15"/>
  <cols>
    <col width="16" customWidth="1" min="1" max="1"/>
    <col width="20" customWidth="1" min="2" max="2"/>
    <col width="12" customWidth="1" min="3" max="3"/>
    <col width="19" customWidth="1" min="4" max="4"/>
    <col width="13" customWidth="1" min="5" max="5"/>
    <col width="12" customWidth="1" min="6" max="6"/>
    <col width="11" customWidth="1" min="7" max="7"/>
    <col width="19" customWidth="1" min="8" max="8"/>
    <col width="11" customWidth="1" min="9" max="9"/>
    <col width="11" customWidth="1" min="10" max="10"/>
    <col width="11" customWidth="1" min="11" max="11"/>
    <col width="11" customWidth="1" min="12" max="12"/>
    <col width="11" customWidth="1" min="13" max="13"/>
  </cols>
  <sheetData>
    <row r="1">
      <c r="A1" s="1" t="inlineStr">
        <is>
          <t>What arrived, and what the certificate said about it.</t>
        </is>
      </c>
    </row>
    <row r="2">
      <c r="A2" s="5" t="inlineStr">
        <is>
          <t>These numbers follow the lot onto every run it feeds, in proportion to how much was used. Two milk lots in one tank give one blended figure, not two.</t>
        </is>
      </c>
    </row>
    <row r="3">
      <c r="A3" s="7" t="inlineStr">
        <is>
          <t>Lot</t>
        </is>
      </c>
      <c r="B3" s="7" t="inlineStr">
        <is>
          <t>Material</t>
        </is>
      </c>
      <c r="C3" s="7" t="inlineStr">
        <is>
          <t>Supplier</t>
        </is>
      </c>
      <c r="D3" s="7" t="inlineStr">
        <is>
          <t>Received</t>
        </is>
      </c>
      <c r="E3" s="8" t="inlineStr">
        <is>
          <t>Expires</t>
        </is>
      </c>
      <c r="F3" s="7" t="inlineStr">
        <is>
          <t>Quantity</t>
        </is>
      </c>
      <c r="G3" s="7" t="inlineStr">
        <is>
          <t>Unit</t>
        </is>
      </c>
      <c r="H3" s="8" t="inlineStr">
        <is>
          <t>Analysed at</t>
        </is>
      </c>
      <c r="I3" s="8" t="inlineStr">
        <is>
          <t>Fat</t>
        </is>
      </c>
      <c r="J3" s="8" t="inlineStr">
        <is>
          <t>Protein</t>
        </is>
      </c>
      <c r="K3" s="8" t="inlineStr">
        <is>
          <t>pH</t>
        </is>
      </c>
      <c r="L3" s="8" t="inlineStr">
        <is>
          <t>Brix</t>
        </is>
      </c>
      <c r="M3" s="8" t="inlineStr">
        <is>
          <t>Delete?</t>
        </is>
      </c>
    </row>
    <row r="4">
      <c r="A4" t="inlineStr">
        <is>
          <t>IN-260807-441</t>
        </is>
      </c>
      <c r="B4" t="inlineStr">
        <is>
          <t>MAT0001</t>
        </is>
      </c>
      <c r="C4" t="inlineStr">
        <is>
          <t>SUP001</t>
        </is>
      </c>
      <c r="D4" s="11" t="n">
        <v>46241.22222222222</v>
      </c>
      <c r="E4" s="10" t="n">
        <v>46248</v>
      </c>
      <c r="F4" t="n">
        <v>1000</v>
      </c>
      <c r="G4" t="inlineStr">
        <is>
          <t>kg</t>
        </is>
      </c>
      <c r="H4" s="11" t="n">
        <v>46241.375</v>
      </c>
      <c r="I4" t="n">
        <v>3.82</v>
      </c>
      <c r="J4" t="n">
        <v>3.41</v>
      </c>
      <c r="K4" t="n">
        <v>6.68</v>
      </c>
    </row>
    <row r="5">
      <c r="A5" t="inlineStr">
        <is>
          <t>IN-260807-442</t>
        </is>
      </c>
      <c r="B5" t="inlineStr">
        <is>
          <t>MAT0001</t>
        </is>
      </c>
      <c r="C5" t="inlineStr">
        <is>
          <t>SUP002</t>
        </is>
      </c>
      <c r="D5" s="11" t="n">
        <v>46241.25694444445</v>
      </c>
      <c r="E5" s="10" t="n">
        <v>46248</v>
      </c>
      <c r="F5" t="n">
        <v>800</v>
      </c>
      <c r="G5" t="inlineStr">
        <is>
          <t>kg</t>
        </is>
      </c>
      <c r="H5" s="11" t="n">
        <v>46241.39583333334</v>
      </c>
      <c r="I5" t="n">
        <v>3.65</v>
      </c>
      <c r="J5" t="n">
        <v>3.18</v>
      </c>
    </row>
    <row r="6">
      <c r="A6" t="inlineStr">
        <is>
          <t>IN-260801-118</t>
        </is>
      </c>
      <c r="B6" t="inlineStr">
        <is>
          <t>MAT0042</t>
        </is>
      </c>
      <c r="C6" t="inlineStr">
        <is>
          <t>SUP001</t>
        </is>
      </c>
      <c r="D6" s="11" t="n">
        <v>46235.375</v>
      </c>
      <c r="E6" s="10" t="n">
        <v>46419</v>
      </c>
      <c r="F6" t="n">
        <v>400</v>
      </c>
      <c r="G6" t="inlineStr">
        <is>
          <t>kg</t>
        </is>
      </c>
      <c r="L6" t="n">
        <v>62.4</v>
      </c>
    </row>
    <row r="7">
      <c r="A7" t="inlineStr">
        <is>
          <t>IN-260720-556</t>
        </is>
      </c>
      <c r="B7" t="inlineStr">
        <is>
          <t>PKG0001</t>
        </is>
      </c>
      <c r="C7" t="inlineStr">
        <is>
          <t>SUP014</t>
        </is>
      </c>
      <c r="D7" s="11" t="n">
        <v>46223.45833333334</v>
      </c>
      <c r="F7" t="n">
        <v>200000</v>
      </c>
      <c r="G7" t="inlineStr">
        <is>
          <t>pcs</t>
        </is>
      </c>
    </row>
    <row r="8">
      <c r="A8" t="inlineStr">
        <is>
          <t>IN-260715-009</t>
        </is>
      </c>
      <c r="B8" t="inlineStr">
        <is>
          <t>MAT0110</t>
        </is>
      </c>
      <c r="C8" t="inlineStr">
        <is>
          <t>SUP001</t>
        </is>
      </c>
      <c r="D8" s="11" t="n">
        <v>46218.33333333334</v>
      </c>
      <c r="E8" s="10" t="n">
        <v>46402</v>
      </c>
      <c r="F8" t="n">
        <v>5000</v>
      </c>
      <c r="G8" t="inlineStr">
        <is>
          <t>g</t>
        </is>
      </c>
    </row>
    <row r="9">
      <c r="A9" t="inlineStr">
        <is>
          <t>IN-260612-201</t>
        </is>
      </c>
      <c r="B9" t="inlineStr">
        <is>
          <t>MAT-NOZZLE-N4471B</t>
        </is>
      </c>
      <c r="C9" t="inlineStr">
        <is>
          <t>SUP014</t>
        </is>
      </c>
      <c r="D9" s="11" t="n">
        <v>46185.41666666666</v>
      </c>
      <c r="F9" t="n">
        <v>20</v>
      </c>
      <c r="G9" t="inlineStr">
        <is>
          <t>pcs</t>
        </is>
      </c>
    </row>
    <row r="10">
      <c r="A10" t="inlineStr">
        <is>
          <t>IN-260701-088</t>
        </is>
      </c>
      <c r="B10" t="inlineStr">
        <is>
          <t>MAT-GASKET-P3</t>
        </is>
      </c>
      <c r="C10" t="inlineStr">
        <is>
          <t>SUP014</t>
        </is>
      </c>
      <c r="D10" s="11" t="n">
        <v>46204.41666666666</v>
      </c>
      <c r="F10" t="n">
        <v>100</v>
      </c>
      <c r="G10" t="inlineStr">
        <is>
          <t>pcs</t>
        </is>
      </c>
    </row>
    <row r="11">
      <c r="A11" t="inlineStr">
        <is>
          <t>IN-260805-330</t>
        </is>
      </c>
      <c r="B11" t="inlineStr">
        <is>
          <t>CAUSTIC</t>
        </is>
      </c>
      <c r="C11" t="inlineStr">
        <is>
          <t>SUP014</t>
        </is>
      </c>
      <c r="D11" s="11" t="n">
        <v>46239.375</v>
      </c>
      <c r="F11" t="n">
        <v>1000</v>
      </c>
      <c r="G11" t="inlineStr">
        <is>
          <t>l</t>
        </is>
      </c>
    </row>
  </sheetData>
  <dataValidations count="2">
    <dataValidation sqref="B4:B400" showDropDown="0" showInputMessage="0" showErrorMessage="0" allowBlank="1" errorTitle="Material" error="Pick one of the listed values." type="list">
      <formula1>=Materials_</formula1>
    </dataValidation>
    <dataValidation sqref="C4:C400" showDropDown="0" showInputMessage="0" showErrorMessage="0" allowBlank="1" errorTitle="Supplier" error="Pick one of the listed values." type="list">
      <formula1>=Suppliers_</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2E7D32"/>
    <outlinePr summaryBelow="1" summaryRight="1"/>
    <pageSetUpPr/>
  </sheetPr>
  <dimension ref="A1:I4"/>
  <sheetViews>
    <sheetView workbookViewId="0">
      <pane ySplit="3" topLeftCell="A4" activePane="bottomLeft" state="frozen"/>
      <selection pane="bottomLeft" activeCell="A1" sqref="A1"/>
    </sheetView>
  </sheetViews>
  <sheetFormatPr baseColWidth="8" defaultRowHeight="15"/>
  <cols>
    <col width="17" customWidth="1" min="1" max="1"/>
    <col width="11" customWidth="1" min="2" max="2"/>
    <col width="14" customWidth="1" min="3" max="3"/>
    <col width="19" customWidth="1" min="4" max="4"/>
    <col width="19" customWidth="1" min="5" max="5"/>
    <col width="12" customWidth="1" min="6" max="6"/>
    <col width="11" customWidth="1" min="7" max="7"/>
    <col width="13" customWidth="1" min="8" max="8"/>
    <col width="11" customWidth="1" min="9" max="9"/>
  </cols>
  <sheetData>
    <row r="1">
      <c r="A1" s="1" t="inlineStr">
        <is>
          <t>Bulk makes — a cook, a ferment, a blend. Each one produces a bulk lot.</t>
        </is>
      </c>
    </row>
    <row r="2">
      <c r="A2" s="5" t="inlineStr">
        <is>
          <t>A batch is not a run. It makes a bulk lot that a run then draws on, which is how what went into the tank explains what came off the line.</t>
        </is>
      </c>
    </row>
    <row r="3">
      <c r="A3" s="7" t="inlineStr">
        <is>
          <t>Batch</t>
        </is>
      </c>
      <c r="B3" s="7" t="inlineStr">
        <is>
          <t>Tank</t>
        </is>
      </c>
      <c r="C3" s="8" t="inlineStr">
        <is>
          <t>Recipe</t>
        </is>
      </c>
      <c r="D3" s="7" t="inlineStr">
        <is>
          <t>Start</t>
        </is>
      </c>
      <c r="E3" s="8" t="inlineStr">
        <is>
          <t>End</t>
        </is>
      </c>
      <c r="F3" s="8" t="inlineStr">
        <is>
          <t>Quantity</t>
        </is>
      </c>
      <c r="G3" s="8" t="inlineStr">
        <is>
          <t>Unit</t>
        </is>
      </c>
      <c r="H3" s="8" t="inlineStr">
        <is>
          <t>Expires</t>
        </is>
      </c>
      <c r="I3" s="8" t="inlineStr">
        <is>
          <t>Delete?</t>
        </is>
      </c>
    </row>
    <row r="4">
      <c r="A4" t="inlineStr">
        <is>
          <t>BULK-260810-07</t>
        </is>
      </c>
      <c r="B4" t="inlineStr">
        <is>
          <t>TANK-3</t>
        </is>
      </c>
      <c r="C4" t="inlineStr">
        <is>
          <t>REC-BASE-v2</t>
        </is>
      </c>
      <c r="D4" s="11" t="n">
        <v>46244.75</v>
      </c>
      <c r="E4" s="11" t="n">
        <v>46244.89583333334</v>
      </c>
      <c r="F4" t="n">
        <v>4200</v>
      </c>
      <c r="G4" t="inlineStr">
        <is>
          <t>kg</t>
        </is>
      </c>
      <c r="H4" s="10" t="n">
        <v>46251</v>
      </c>
    </row>
  </sheetData>
  <dataValidations count="2">
    <dataValidation sqref="B4:B400" showDropDown="0" showInputMessage="0" showErrorMessage="0" allowBlank="1" errorTitle="Tank" error="Pick one of the listed values." type="list">
      <formula1>=Tanks_</formula1>
    </dataValidation>
    <dataValidation sqref="C4:C400" showDropDown="0" showInputMessage="0" showErrorMessage="0" allowBlank="1" errorTitle="Recipe" error="Pick one of the listed values." type="list">
      <formula1>=Recipes_</formula1>
    </dataValidation>
  </dataValidation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2E7D32"/>
    <outlinePr summaryBelow="1" summaryRight="1"/>
    <pageSetUpPr/>
  </sheetPr>
  <dimension ref="A1:L4"/>
  <sheetViews>
    <sheetView workbookViewId="0">
      <pane ySplit="3" topLeftCell="A4" activePane="bottomLeft" state="frozen"/>
      <selection pane="bottomLeft" activeCell="A1" sqref="A1"/>
    </sheetView>
  </sheetViews>
  <sheetFormatPr baseColWidth="8" defaultRowHeight="15"/>
  <cols>
    <col width="17" customWidth="1" min="1" max="1"/>
    <col width="11" customWidth="1" min="2" max="2"/>
    <col width="11" customWidth="1" min="3" max="3"/>
    <col width="16" customWidth="1" min="4" max="4"/>
    <col width="11" customWidth="1" min="5" max="5"/>
    <col width="11" customWidth="1" min="6" max="6"/>
    <col width="18" customWidth="1" min="7" max="7"/>
    <col width="20" customWidth="1" min="8" max="8"/>
    <col width="19" customWidth="1" min="9" max="9"/>
    <col width="19" customWidth="1" min="10" max="10"/>
    <col width="16" customWidth="1" min="11" max="11"/>
    <col width="11" customWidth="1" min="12" max="12"/>
  </cols>
  <sheetData>
    <row r="1">
      <c r="A1" s="1" t="inlineStr">
        <is>
          <t>Filling and packing runs. This is the unit everything is counted in.</t>
        </is>
      </c>
    </row>
    <row r="3">
      <c r="A3" s="7" t="inlineStr">
        <is>
          <t>Run</t>
        </is>
      </c>
      <c r="B3" s="7" t="inlineStr">
        <is>
          <t>Line</t>
        </is>
      </c>
      <c r="C3" s="7" t="inlineStr">
        <is>
          <t>Product</t>
        </is>
      </c>
      <c r="D3" s="8" t="inlineStr">
        <is>
          <t>Recipe</t>
        </is>
      </c>
      <c r="E3" s="8" t="inlineStr">
        <is>
          <t>Shift</t>
        </is>
      </c>
      <c r="F3" s="8" t="inlineStr">
        <is>
          <t>Crew</t>
        </is>
      </c>
      <c r="G3" s="8" t="inlineStr">
        <is>
          <t>From bulk lots</t>
        </is>
      </c>
      <c r="H3" s="8" t="inlineStr">
        <is>
          <t>Planned quantity</t>
        </is>
      </c>
      <c r="I3" s="7" t="inlineStr">
        <is>
          <t>Start</t>
        </is>
      </c>
      <c r="J3" s="8" t="inlineStr">
        <is>
          <t>End</t>
        </is>
      </c>
      <c r="K3" s="8" t="inlineStr">
        <is>
          <t>How it ended</t>
        </is>
      </c>
      <c r="L3" s="8" t="inlineStr">
        <is>
          <t>Delete?</t>
        </is>
      </c>
    </row>
    <row r="4">
      <c r="A4" t="inlineStr">
        <is>
          <t>L01-260810-002</t>
        </is>
      </c>
      <c r="B4" t="inlineStr">
        <is>
          <t>LINE001</t>
        </is>
      </c>
      <c r="C4" t="inlineStr">
        <is>
          <t>PRD001</t>
        </is>
      </c>
      <c r="D4" t="inlineStr">
        <is>
          <t>REC-PRD001-v3</t>
        </is>
      </c>
      <c r="E4" t="inlineStr">
        <is>
          <t>SHIFT_C</t>
        </is>
      </c>
      <c r="F4" t="inlineStr">
        <is>
          <t>CREW-C</t>
        </is>
      </c>
      <c r="G4" t="inlineStr">
        <is>
          <t>BULK-260810-07</t>
        </is>
      </c>
      <c r="H4" t="n">
        <v>24000</v>
      </c>
      <c r="I4" s="11" t="n">
        <v>46244.91666666666</v>
      </c>
      <c r="J4" s="11" t="n">
        <v>46245.25</v>
      </c>
      <c r="K4" t="inlineStr">
        <is>
          <t>completed</t>
        </is>
      </c>
    </row>
  </sheetData>
  <dataValidations count="6">
    <dataValidation sqref="B4:B400" showDropDown="0" showInputMessage="0" showErrorMessage="0" allowBlank="1" errorTitle="Line" error="Pick one of the listed values." type="list">
      <formula1>=Lines_</formula1>
    </dataValidation>
    <dataValidation sqref="C4:C400" showDropDown="0" showInputMessage="0" showErrorMessage="0" allowBlank="1" errorTitle="Product" error="Pick one of the listed values." type="list">
      <formula1>=Products_</formula1>
    </dataValidation>
    <dataValidation sqref="D4:D400" showDropDown="0" showInputMessage="0" showErrorMessage="0" allowBlank="1" errorTitle="Recipe" error="Pick one of the listed values." type="list">
      <formula1>=Recipes_</formula1>
    </dataValidation>
    <dataValidation sqref="E4:E400" showDropDown="0" showInputMessage="0" showErrorMessage="0" allowBlank="1" errorTitle="Shift" error="Pick one of the listed values." type="list">
      <formula1>=Shifts_</formula1>
    </dataValidation>
    <dataValidation sqref="F4:F400" showDropDown="0" showInputMessage="0" showErrorMessage="0" allowBlank="1" errorTitle="Crew" error="Pick one of the listed values." type="list">
      <formula1>=Crews_</formula1>
    </dataValidation>
    <dataValidation sqref="K4:K400" showDropDown="0" showInputMessage="0" showErrorMessage="0" allowBlank="1" errorTitle="How it ended" error="Pick one of the listed values." type="list">
      <formula1>"completed,cancelled"</formula1>
    </dataValidation>
  </dataValidation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2E7D32"/>
    <outlinePr summaryBelow="1" summaryRight="1"/>
    <pageSetUpPr/>
  </sheetPr>
  <dimension ref="A1:G12"/>
  <sheetViews>
    <sheetView workbookViewId="0">
      <pane ySplit="3" topLeftCell="A4" activePane="bottomLeft" state="frozen"/>
      <selection pane="bottomLeft" activeCell="A1" sqref="A1"/>
    </sheetView>
  </sheetViews>
  <sheetFormatPr baseColWidth="8" defaultRowHeight="15"/>
  <cols>
    <col width="17" customWidth="1" min="1" max="1"/>
    <col width="13" customWidth="1" min="2" max="2"/>
    <col width="11" customWidth="1" min="3" max="3"/>
    <col width="12" customWidth="1" min="4" max="4"/>
    <col width="11" customWidth="1" min="5" max="5"/>
    <col width="14" customWidth="1" min="6" max="6"/>
    <col width="11" customWidth="1" min="7" max="7"/>
  </cols>
  <sheetData>
    <row r="1">
      <c r="A1" s="1" t="inlineStr">
        <is>
          <t>What you meant to use. Optional, but it is what the actuals are judged against.</t>
        </is>
      </c>
    </row>
    <row r="2">
      <c r="A2" s="5" t="inlineStr">
        <is>
          <t>Every row here pairs with rows on the Consumption tab: 1350 kg of milk planned against 1340 used, 24000 cups against 24120, a 35 l clean against 40. That pairing is the whole value of the tab, and it only works because both sides name the same item.</t>
        </is>
      </c>
    </row>
    <row r="3">
      <c r="A3" s="7" t="inlineStr">
        <is>
          <t>Used by</t>
        </is>
      </c>
      <c r="B3" s="7" t="inlineStr">
        <is>
          <t>Category</t>
        </is>
      </c>
      <c r="C3" s="7" t="inlineStr">
        <is>
          <t>Item</t>
        </is>
      </c>
      <c r="D3" s="7" t="inlineStr">
        <is>
          <t>Quantity</t>
        </is>
      </c>
      <c r="E3" s="7" t="inlineStr">
        <is>
          <t>Unit</t>
        </is>
      </c>
      <c r="F3" s="8" t="inlineStr">
        <is>
          <t>Unit value</t>
        </is>
      </c>
      <c r="G3" s="8" t="inlineStr">
        <is>
          <t>Delete?</t>
        </is>
      </c>
    </row>
    <row r="4">
      <c r="A4" t="inlineStr">
        <is>
          <t>BULK-260810-07</t>
        </is>
      </c>
      <c r="B4" t="inlineStr">
        <is>
          <t>ingredient</t>
        </is>
      </c>
      <c r="C4" t="inlineStr">
        <is>
          <t>MAT0001</t>
        </is>
      </c>
      <c r="D4" t="n">
        <v>1350</v>
      </c>
      <c r="E4" t="inlineStr">
        <is>
          <t>kg</t>
        </is>
      </c>
      <c r="F4" t="n">
        <v>3.1</v>
      </c>
    </row>
    <row r="5">
      <c r="A5" t="inlineStr">
        <is>
          <t>BULK-260810-07</t>
        </is>
      </c>
      <c r="B5" t="inlineStr">
        <is>
          <t>ingredient</t>
        </is>
      </c>
      <c r="C5" t="inlineStr">
        <is>
          <t>MAT0110</t>
        </is>
      </c>
      <c r="D5" t="n">
        <v>125</v>
      </c>
      <c r="E5" t="inlineStr">
        <is>
          <t>g</t>
        </is>
      </c>
      <c r="F5" t="n">
        <v>0.42</v>
      </c>
    </row>
    <row r="6">
      <c r="A6" t="inlineStr">
        <is>
          <t>L01-260810-002</t>
        </is>
      </c>
      <c r="B6" t="inlineStr">
        <is>
          <t>ingredient</t>
        </is>
      </c>
      <c r="C6" t="inlineStr">
        <is>
          <t>MAT0042</t>
        </is>
      </c>
      <c r="D6" t="n">
        <v>300</v>
      </c>
      <c r="E6" t="inlineStr">
        <is>
          <t>kg</t>
        </is>
      </c>
      <c r="F6" t="n">
        <v>2.44</v>
      </c>
    </row>
    <row r="7">
      <c r="A7" t="inlineStr">
        <is>
          <t>L01-260810-002</t>
        </is>
      </c>
      <c r="B7" t="inlineStr">
        <is>
          <t>packaging</t>
        </is>
      </c>
      <c r="C7" t="inlineStr">
        <is>
          <t>PKG0001</t>
        </is>
      </c>
      <c r="D7" t="n">
        <v>24000</v>
      </c>
      <c r="E7" t="inlineStr">
        <is>
          <t>pcs</t>
        </is>
      </c>
      <c r="F7" t="n">
        <v>0.031</v>
      </c>
    </row>
    <row r="8">
      <c r="A8" t="inlineStr">
        <is>
          <t>L01-260810-002</t>
        </is>
      </c>
      <c r="B8" t="inlineStr">
        <is>
          <t>labour</t>
        </is>
      </c>
      <c r="C8" t="inlineStr">
        <is>
          <t>CREW-C</t>
        </is>
      </c>
      <c r="D8" t="n">
        <v>32</v>
      </c>
      <c r="E8" t="inlineStr">
        <is>
          <t>h</t>
        </is>
      </c>
      <c r="F8" t="n">
        <v>24.5</v>
      </c>
    </row>
    <row r="9">
      <c r="A9" t="inlineStr">
        <is>
          <t>L01-260810-002</t>
        </is>
      </c>
      <c r="B9" t="inlineStr">
        <is>
          <t>energy</t>
        </is>
      </c>
      <c r="C9" t="inlineStr">
        <is>
          <t>ELEC</t>
        </is>
      </c>
      <c r="D9" t="n">
        <v>600</v>
      </c>
      <c r="E9" t="inlineStr">
        <is>
          <t>kWh</t>
        </is>
      </c>
      <c r="F9" t="n">
        <v>0.18</v>
      </c>
    </row>
    <row r="10">
      <c r="A10" t="inlineStr">
        <is>
          <t>L01-260810-002</t>
        </is>
      </c>
      <c r="B10" t="inlineStr">
        <is>
          <t>water</t>
        </is>
      </c>
      <c r="C10" t="inlineStr">
        <is>
          <t>WATER</t>
        </is>
      </c>
      <c r="D10" t="n">
        <v>1500</v>
      </c>
      <c r="E10" t="inlineStr">
        <is>
          <t>l</t>
        </is>
      </c>
      <c r="F10" t="n">
        <v>0.0022</v>
      </c>
    </row>
    <row r="11">
      <c r="A11" t="inlineStr">
        <is>
          <t>CIP-260811-014</t>
        </is>
      </c>
      <c r="B11" t="inlineStr">
        <is>
          <t>chemical</t>
        </is>
      </c>
      <c r="C11" t="inlineStr">
        <is>
          <t>CAUSTIC</t>
        </is>
      </c>
      <c r="D11" t="n">
        <v>35</v>
      </c>
      <c r="E11" t="inlineStr">
        <is>
          <t>l</t>
        </is>
      </c>
      <c r="F11" t="n">
        <v>0.62</v>
      </c>
    </row>
    <row r="12">
      <c r="A12" t="inlineStr">
        <is>
          <t>CIP-260811-014</t>
        </is>
      </c>
      <c r="B12" t="inlineStr">
        <is>
          <t>labour</t>
        </is>
      </c>
      <c r="C12" t="inlineStr">
        <is>
          <t>CREW-C</t>
        </is>
      </c>
      <c r="D12" t="n">
        <v>1</v>
      </c>
      <c r="E12" t="inlineStr">
        <is>
          <t>h</t>
        </is>
      </c>
      <c r="F12" t="n">
        <v>24.5</v>
      </c>
    </row>
  </sheetData>
  <dataValidations count="3">
    <dataValidation sqref="A4:A400" showDropDown="0" showInputMessage="0" showErrorMessage="0" allowBlank="1" errorTitle="Used by" error="Pick one of the listed values." type="list">
      <formula1>=Work_</formula1>
    </dataValidation>
    <dataValidation sqref="B4:B400" showDropDown="0" showInputMessage="0" showErrorMessage="0" allowBlank="1" errorTitle="Category" error="Pick one of the listed values." type="list">
      <formula1>"ingredient,packaging,chemical,water,energy,effluent,labour,equipment,expense"</formula1>
    </dataValidation>
    <dataValidation sqref="C4:C400" showDropDown="0" showInputMessage="0" showErrorMessage="0" allowBlank="1" errorTitle="Item" error="Pick one of the listed values." type="list">
      <formula1>=Items_</formula1>
    </dataValidation>
  </dataValidation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2E7D32"/>
    <outlinePr summaryBelow="1" summaryRight="1"/>
    <pageSetUpPr/>
  </sheetPr>
  <dimension ref="A1:F5"/>
  <sheetViews>
    <sheetView workbookViewId="0">
      <pane ySplit="3" topLeftCell="A4" activePane="bottomLeft" state="frozen"/>
      <selection pane="bottomLeft" activeCell="A1" sqref="A1"/>
    </sheetView>
  </sheetViews>
  <sheetFormatPr baseColWidth="8" defaultRowHeight="15"/>
  <cols>
    <col width="17" customWidth="1" min="1" max="1"/>
    <col width="11" customWidth="1" min="2" max="2"/>
    <col width="11" customWidth="1" min="3" max="3"/>
    <col width="19" customWidth="1" min="4" max="4"/>
    <col width="19" customWidth="1" min="5" max="5"/>
    <col width="11" customWidth="1" min="6" max="6"/>
  </cols>
  <sheetData>
    <row r="1">
      <c r="A1" s="1" t="inlineStr">
        <is>
          <t>Steps within a run, and the machine that did each one.</t>
        </is>
      </c>
    </row>
    <row r="2">
      <c r="A2" s="5" t="inlineStr">
        <is>
          <t>The machine is named here rather than on the run because this is what makes equipment age count in running hours. Name it on the run instead and a filler that ran six hours and a caser that ran eight would both age eight.</t>
        </is>
      </c>
    </row>
    <row r="3">
      <c r="A3" s="7" t="inlineStr">
        <is>
          <t>Run</t>
        </is>
      </c>
      <c r="B3" s="7" t="inlineStr">
        <is>
          <t>Stage</t>
        </is>
      </c>
      <c r="C3" s="7" t="inlineStr">
        <is>
          <t>Machine</t>
        </is>
      </c>
      <c r="D3" s="7" t="inlineStr">
        <is>
          <t>Start</t>
        </is>
      </c>
      <c r="E3" s="8" t="inlineStr">
        <is>
          <t>End</t>
        </is>
      </c>
      <c r="F3" s="8" t="inlineStr">
        <is>
          <t>Delete?</t>
        </is>
      </c>
    </row>
    <row r="4">
      <c r="A4" t="inlineStr">
        <is>
          <t>L01-260810-002</t>
        </is>
      </c>
      <c r="B4" t="inlineStr">
        <is>
          <t>fill</t>
        </is>
      </c>
      <c r="C4" t="inlineStr">
        <is>
          <t>EQ010</t>
        </is>
      </c>
      <c r="D4" s="11" t="n">
        <v>46244.92361111111</v>
      </c>
      <c r="E4" s="11" t="n">
        <v>46245.24305555555</v>
      </c>
    </row>
    <row r="5">
      <c r="A5" t="inlineStr">
        <is>
          <t>L01-260810-002</t>
        </is>
      </c>
      <c r="B5" t="inlineStr">
        <is>
          <t>case</t>
        </is>
      </c>
      <c r="C5" t="inlineStr">
        <is>
          <t>EQ021</t>
        </is>
      </c>
      <c r="D5" s="11" t="n">
        <v>46244.93402777778</v>
      </c>
      <c r="E5" s="11" t="n">
        <v>46245.24861111111</v>
      </c>
    </row>
  </sheetData>
  <dataValidations count="2">
    <dataValidation sqref="A4:A400" showDropDown="0" showInputMessage="0" showErrorMessage="0" allowBlank="1" errorTitle="Run" error="Pick one of the listed values." type="list">
      <formula1>=Work_</formula1>
    </dataValidation>
    <dataValidation sqref="C4:C400" showDropDown="0" showInputMessage="0" showErrorMessage="0" allowBlank="1" errorTitle="Machine" error="Pick one of the listed values." type="list">
      <formula1>=Machines_</formula1>
    </dataValidation>
  </dataValidation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2E7D32"/>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7" customWidth="1" min="1" max="1"/>
    <col width="11" customWidth="1" min="2" max="2"/>
    <col width="19" customWidth="1" min="3" max="3"/>
    <col width="18" customWidth="1" min="4" max="4"/>
    <col width="17" customWidth="1" min="5" max="5"/>
    <col width="19" customWidth="1" min="6" max="6"/>
    <col width="19" customWidth="1" min="7" max="7"/>
    <col width="11" customWidth="1" min="8" max="8"/>
  </cols>
  <sheetData>
    <row r="1">
      <c r="A1" s="1" t="inlineStr">
        <is>
          <t>Cleans and changeovers.</t>
        </is>
      </c>
    </row>
    <row r="3">
      <c r="A3" s="7" t="inlineStr">
        <is>
          <t>Clean</t>
        </is>
      </c>
      <c r="B3" s="7" t="inlineStr">
        <is>
          <t>Line</t>
        </is>
      </c>
      <c r="C3" s="7" t="inlineStr">
        <is>
          <t>Cleaning regime</t>
        </is>
      </c>
      <c r="D3" s="7" t="inlineStr">
        <is>
          <t>Product before</t>
        </is>
      </c>
      <c r="E3" s="7" t="inlineStr">
        <is>
          <t>Product after</t>
        </is>
      </c>
      <c r="F3" s="7" t="inlineStr">
        <is>
          <t>Start</t>
        </is>
      </c>
      <c r="G3" s="8" t="inlineStr">
        <is>
          <t>End</t>
        </is>
      </c>
      <c r="H3" s="8" t="inlineStr">
        <is>
          <t>Delete?</t>
        </is>
      </c>
    </row>
    <row r="4">
      <c r="A4" t="inlineStr">
        <is>
          <t>CIP-260811-014</t>
        </is>
      </c>
      <c r="B4" t="inlineStr">
        <is>
          <t>LINE001</t>
        </is>
      </c>
      <c r="C4" t="inlineStr">
        <is>
          <t>allergen-cip</t>
        </is>
      </c>
      <c r="D4" t="inlineStr">
        <is>
          <t>PRD001</t>
        </is>
      </c>
      <c r="E4" t="inlineStr">
        <is>
          <t>PRD044</t>
        </is>
      </c>
      <c r="F4" s="11" t="n">
        <v>46245.25</v>
      </c>
      <c r="G4" s="11" t="n">
        <v>46245.32638888889</v>
      </c>
    </row>
  </sheetData>
  <dataValidations count="4">
    <dataValidation sqref="B4:B400" showDropDown="0" showInputMessage="0" showErrorMessage="0" allowBlank="1" errorTitle="Line" error="Pick one of the listed values." type="list">
      <formula1>=Lines_</formula1>
    </dataValidation>
    <dataValidation sqref="C4:C400" showDropDown="0" showInputMessage="0" showErrorMessage="0" allowBlank="1" errorTitle="Cleaning regime" error="Pick one of the listed values." type="list">
      <formula1>=Regimes_</formula1>
    </dataValidation>
    <dataValidation sqref="D4:D400" showDropDown="0" showInputMessage="0" showErrorMessage="0" allowBlank="1" errorTitle="Product before" error="Pick one of the listed values." type="list">
      <formula1>=Products_</formula1>
    </dataValidation>
    <dataValidation sqref="E4:E400" showDropDown="0" showInputMessage="0" showErrorMessage="0" allowBlank="1" errorTitle="Product after" error="Pick one of the listed values." type="list">
      <formula1>=Products_</formula1>
    </dataValidation>
  </dataValidation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2E7D32"/>
    <outlinePr summaryBelow="1" summaryRight="1"/>
    <pageSetUpPr/>
  </sheetPr>
  <dimension ref="A1:K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11" customWidth="1" min="3" max="3"/>
    <col width="22" customWidth="1" min="4" max="4"/>
    <col width="12" customWidth="1" min="5" max="5"/>
    <col width="11" customWidth="1" min="6" max="6"/>
    <col width="19" customWidth="1" min="7" max="7"/>
    <col width="19" customWidth="1" min="8" max="8"/>
    <col width="13" customWidth="1" min="9" max="9"/>
    <col width="24" customWidth="1" min="10" max="10"/>
    <col width="11" customWidth="1" min="11" max="11"/>
  </cols>
  <sheetData>
    <row r="1">
      <c r="A1" s="1" t="inlineStr">
        <is>
          <t>Finished stock held back by QA, and what was decided about it.</t>
        </is>
      </c>
    </row>
    <row r="2">
      <c r="A2" s="5" t="inlineStr">
        <is>
          <t>A hold is work, not an event. It ties up QA time and stock, and how long it lasts is the thing worth measuring.</t>
        </is>
      </c>
    </row>
    <row r="3">
      <c r="A3" s="7" t="inlineStr">
        <is>
          <t>Hold</t>
        </is>
      </c>
      <c r="B3" s="7" t="inlineStr">
        <is>
          <t>Lot</t>
        </is>
      </c>
      <c r="C3" s="8" t="inlineStr">
        <is>
          <t>Product</t>
        </is>
      </c>
      <c r="D3" s="7" t="inlineStr">
        <is>
          <t>Reason</t>
        </is>
      </c>
      <c r="E3" s="7" t="inlineStr">
        <is>
          <t>Quantity</t>
        </is>
      </c>
      <c r="F3" s="7" t="inlineStr">
        <is>
          <t>Unit</t>
        </is>
      </c>
      <c r="G3" s="7" t="inlineStr">
        <is>
          <t>Start</t>
        </is>
      </c>
      <c r="H3" s="8" t="inlineStr">
        <is>
          <t>End</t>
        </is>
      </c>
      <c r="I3" s="8" t="inlineStr">
        <is>
          <t>Decision</t>
        </is>
      </c>
      <c r="J3" s="8" t="inlineStr">
        <is>
          <t>Recovered unit value</t>
        </is>
      </c>
      <c r="K3" s="8" t="inlineStr">
        <is>
          <t>Delete?</t>
        </is>
      </c>
    </row>
    <row r="4">
      <c r="A4" t="inlineStr">
        <is>
          <t>HOLD-2211</t>
        </is>
      </c>
      <c r="B4" t="inlineStr">
        <is>
          <t>FG-260810-113</t>
        </is>
      </c>
      <c r="C4" t="inlineStr">
        <is>
          <t>PRD001</t>
        </is>
      </c>
      <c r="D4" t="inlineStr">
        <is>
          <t>Weight check failed</t>
        </is>
      </c>
      <c r="E4" t="n">
        <v>4200</v>
      </c>
      <c r="F4" t="inlineStr">
        <is>
          <t>pcs</t>
        </is>
      </c>
      <c r="G4" s="11" t="n">
        <v>46245.30208333334</v>
      </c>
      <c r="H4" s="11" t="n">
        <v>46246.45833333334</v>
      </c>
      <c r="I4" t="inlineStr">
        <is>
          <t>downgraded</t>
        </is>
      </c>
      <c r="J4" t="n">
        <v>0.41</v>
      </c>
    </row>
  </sheetData>
  <dataValidations count="2">
    <dataValidation sqref="C4:C400" showDropDown="0" showInputMessage="0" showErrorMessage="0" allowBlank="1" errorTitle="Product" error="Pick one of the listed values." type="list">
      <formula1>=Products_</formula1>
    </dataValidation>
    <dataValidation sqref="I4:I400" showDropDown="0" showInputMessage="0" showErrorMessage="0" allowBlank="1" errorTitle="Decision" error="Pick one of the listed values." type="list">
      <formula1>"released,downgraded,scrapped"</formula1>
    </dataValidation>
  </dataValidation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2E7D32"/>
    <outlinePr summaryBelow="1" summaryRight="1"/>
    <pageSetUpPr/>
  </sheetPr>
  <dimension ref="A1:I17"/>
  <sheetViews>
    <sheetView workbookViewId="0">
      <pane ySplit="3" topLeftCell="A4" activePane="bottomLeft" state="frozen"/>
      <selection pane="bottomLeft" activeCell="A1" sqref="A1"/>
    </sheetView>
  </sheetViews>
  <sheetFormatPr baseColWidth="8" defaultRowHeight="15"/>
  <cols>
    <col width="17" customWidth="1" min="1" max="1"/>
    <col width="13" customWidth="1" min="2" max="2"/>
    <col width="15" customWidth="1" min="3" max="3"/>
    <col width="16" customWidth="1" min="4" max="4"/>
    <col width="12" customWidth="1" min="5" max="5"/>
    <col width="11" customWidth="1" min="6" max="6"/>
    <col width="14" customWidth="1" min="7" max="7"/>
    <col width="19" customWidth="1" min="8" max="8"/>
    <col width="11" customWidth="1" min="9" max="9"/>
  </cols>
  <sheetData>
    <row r="1">
      <c r="A1" s="1" t="inlineStr">
        <is>
          <t>What was actually used, by a run, a batch or a clean.</t>
        </is>
      </c>
    </row>
    <row r="2">
      <c r="A2" s="5" t="inlineStr">
        <is>
          <t>Labour names a crew, never a person. A clean has its own rows because a CIP costs caustic, water and time, and that cost is only comparable against the changeover that avoided it.</t>
        </is>
      </c>
    </row>
    <row r="3">
      <c r="A3" s="7" t="inlineStr">
        <is>
          <t>Used by</t>
        </is>
      </c>
      <c r="B3" s="7" t="inlineStr">
        <is>
          <t>Category</t>
        </is>
      </c>
      <c r="C3" s="7" t="inlineStr">
        <is>
          <t>Item</t>
        </is>
      </c>
      <c r="D3" s="8" t="inlineStr">
        <is>
          <t>Lot</t>
        </is>
      </c>
      <c r="E3" s="7" t="inlineStr">
        <is>
          <t>Quantity</t>
        </is>
      </c>
      <c r="F3" s="7" t="inlineStr">
        <is>
          <t>Unit</t>
        </is>
      </c>
      <c r="G3" s="8" t="inlineStr">
        <is>
          <t>Unit value</t>
        </is>
      </c>
      <c r="H3" s="8" t="inlineStr">
        <is>
          <t>At</t>
        </is>
      </c>
      <c r="I3" s="8" t="inlineStr">
        <is>
          <t>Delete?</t>
        </is>
      </c>
    </row>
    <row r="4">
      <c r="A4" t="inlineStr">
        <is>
          <t>BULK-260810-07</t>
        </is>
      </c>
      <c r="B4" t="inlineStr">
        <is>
          <t>ingredient</t>
        </is>
      </c>
      <c r="C4" t="inlineStr">
        <is>
          <t>MAT0001</t>
        </is>
      </c>
      <c r="D4" t="inlineStr">
        <is>
          <t>IN-260807-441</t>
        </is>
      </c>
      <c r="E4" t="n">
        <v>940</v>
      </c>
      <c r="F4" t="inlineStr">
        <is>
          <t>kg</t>
        </is>
      </c>
      <c r="G4" t="n">
        <v>3.12</v>
      </c>
      <c r="H4" s="11" t="n">
        <v>46244.76388888889</v>
      </c>
    </row>
    <row r="5">
      <c r="A5" t="inlineStr">
        <is>
          <t>BULK-260810-07</t>
        </is>
      </c>
      <c r="B5" t="inlineStr">
        <is>
          <t>ingredient</t>
        </is>
      </c>
      <c r="C5" t="inlineStr">
        <is>
          <t>MAT0001</t>
        </is>
      </c>
      <c r="D5" t="inlineStr">
        <is>
          <t>IN-260807-442</t>
        </is>
      </c>
      <c r="E5" t="n">
        <v>400</v>
      </c>
      <c r="F5" t="inlineStr">
        <is>
          <t>kg</t>
        </is>
      </c>
      <c r="G5" t="n">
        <v>3.05</v>
      </c>
      <c r="H5" s="11" t="n">
        <v>46244.76736111111</v>
      </c>
    </row>
    <row r="6">
      <c r="A6" t="inlineStr">
        <is>
          <t>BULK-260810-07</t>
        </is>
      </c>
      <c r="B6" t="inlineStr">
        <is>
          <t>ingredient</t>
        </is>
      </c>
      <c r="C6" t="inlineStr">
        <is>
          <t>MAT0110</t>
        </is>
      </c>
      <c r="D6" t="inlineStr">
        <is>
          <t>IN-260715-009</t>
        </is>
      </c>
      <c r="E6" t="n">
        <v>120</v>
      </c>
      <c r="F6" t="inlineStr">
        <is>
          <t>g</t>
        </is>
      </c>
      <c r="G6" t="n">
        <v>0.42</v>
      </c>
      <c r="H6" s="11" t="n">
        <v>46244.77083333334</v>
      </c>
    </row>
    <row r="7">
      <c r="A7" t="inlineStr">
        <is>
          <t>L01-260810-002</t>
        </is>
      </c>
      <c r="B7" t="inlineStr">
        <is>
          <t>ingredient</t>
        </is>
      </c>
      <c r="C7" t="inlineStr">
        <is>
          <t>MAT0042</t>
        </is>
      </c>
      <c r="D7" t="inlineStr">
        <is>
          <t>IN-260801-118</t>
        </is>
      </c>
      <c r="E7" t="n">
        <v>310</v>
      </c>
      <c r="F7" t="inlineStr">
        <is>
          <t>kg</t>
        </is>
      </c>
      <c r="G7" t="n">
        <v>2.44</v>
      </c>
      <c r="H7" s="11" t="n">
        <v>46244.9375</v>
      </c>
    </row>
    <row r="8">
      <c r="A8" t="inlineStr">
        <is>
          <t>L01-260810-002</t>
        </is>
      </c>
      <c r="B8" t="inlineStr">
        <is>
          <t>packaging</t>
        </is>
      </c>
      <c r="C8" t="inlineStr">
        <is>
          <t>PKG0001</t>
        </is>
      </c>
      <c r="D8" t="inlineStr">
        <is>
          <t>IN-260720-556</t>
        </is>
      </c>
      <c r="E8" t="n">
        <v>24120</v>
      </c>
      <c r="F8" t="inlineStr">
        <is>
          <t>pcs</t>
        </is>
      </c>
      <c r="G8" t="n">
        <v>0.031</v>
      </c>
      <c r="H8" s="11" t="n">
        <v>46244.9375</v>
      </c>
    </row>
    <row r="9">
      <c r="A9" t="inlineStr">
        <is>
          <t>L01-260810-002</t>
        </is>
      </c>
      <c r="B9" t="inlineStr">
        <is>
          <t>water</t>
        </is>
      </c>
      <c r="C9" t="inlineStr">
        <is>
          <t>WATER</t>
        </is>
      </c>
      <c r="E9" t="n">
        <v>1800</v>
      </c>
      <c r="F9" t="inlineStr">
        <is>
          <t>l</t>
        </is>
      </c>
      <c r="G9" t="n">
        <v>0.0022</v>
      </c>
      <c r="H9" s="11" t="n">
        <v>46245.24305555555</v>
      </c>
    </row>
    <row r="10">
      <c r="A10" t="inlineStr">
        <is>
          <t>L01-260810-002</t>
        </is>
      </c>
      <c r="B10" t="inlineStr">
        <is>
          <t>energy</t>
        </is>
      </c>
      <c r="C10" t="inlineStr">
        <is>
          <t>ELEC</t>
        </is>
      </c>
      <c r="E10" t="n">
        <v>640</v>
      </c>
      <c r="F10" t="inlineStr">
        <is>
          <t>kWh</t>
        </is>
      </c>
      <c r="G10" t="n">
        <v>0.18</v>
      </c>
      <c r="H10" s="11" t="n">
        <v>46245.24305555555</v>
      </c>
    </row>
    <row r="11">
      <c r="A11" t="inlineStr">
        <is>
          <t>L01-260810-002</t>
        </is>
      </c>
      <c r="B11" t="inlineStr">
        <is>
          <t>labour</t>
        </is>
      </c>
      <c r="C11" t="inlineStr">
        <is>
          <t>CREW-C</t>
        </is>
      </c>
      <c r="E11" t="n">
        <v>32</v>
      </c>
      <c r="F11" t="inlineStr">
        <is>
          <t>h</t>
        </is>
      </c>
      <c r="G11" t="n">
        <v>24.5</v>
      </c>
      <c r="H11" s="11" t="n">
        <v>46245.24305555555</v>
      </c>
    </row>
    <row r="12">
      <c r="A12" t="inlineStr">
        <is>
          <t>L01-260810-002</t>
        </is>
      </c>
      <c r="B12" t="inlineStr">
        <is>
          <t>equipment</t>
        </is>
      </c>
      <c r="C12" t="inlineStr">
        <is>
          <t>EQ010</t>
        </is>
      </c>
      <c r="E12" t="n">
        <v>7.7</v>
      </c>
      <c r="F12" t="inlineStr">
        <is>
          <t>h</t>
        </is>
      </c>
      <c r="G12" t="n">
        <v>18</v>
      </c>
      <c r="H12" s="11" t="n">
        <v>46245.24305555555</v>
      </c>
    </row>
    <row r="13">
      <c r="A13" t="inlineStr">
        <is>
          <t>L01-260810-002</t>
        </is>
      </c>
      <c r="B13" t="inlineStr">
        <is>
          <t>expense</t>
        </is>
      </c>
      <c r="C13" t="inlineStr">
        <is>
          <t>EXP-OVERTIME</t>
        </is>
      </c>
      <c r="E13" t="n">
        <v>4</v>
      </c>
      <c r="F13" t="inlineStr">
        <is>
          <t>h</t>
        </is>
      </c>
      <c r="G13" t="n">
        <v>12.25</v>
      </c>
      <c r="H13" s="11" t="n">
        <v>46245.24305555555</v>
      </c>
    </row>
    <row r="14">
      <c r="A14" t="inlineStr">
        <is>
          <t>L01-260810-002</t>
        </is>
      </c>
      <c r="B14" t="inlineStr">
        <is>
          <t>effluent</t>
        </is>
      </c>
      <c r="C14" t="inlineStr">
        <is>
          <t>WATER</t>
        </is>
      </c>
      <c r="E14" t="n">
        <v>1650</v>
      </c>
      <c r="F14" t="inlineStr">
        <is>
          <t>l</t>
        </is>
      </c>
      <c r="G14" t="n">
        <v>0.0009</v>
      </c>
      <c r="H14" s="11" t="n">
        <v>46245.24305555555</v>
      </c>
    </row>
    <row r="15">
      <c r="A15" t="inlineStr">
        <is>
          <t>CIP-260811-014</t>
        </is>
      </c>
      <c r="B15" t="inlineStr">
        <is>
          <t>chemical</t>
        </is>
      </c>
      <c r="C15" t="inlineStr">
        <is>
          <t>CAUSTIC</t>
        </is>
      </c>
      <c r="D15" t="inlineStr">
        <is>
          <t>IN-260805-330</t>
        </is>
      </c>
      <c r="E15" t="n">
        <v>40</v>
      </c>
      <c r="F15" t="inlineStr">
        <is>
          <t>l</t>
        </is>
      </c>
      <c r="G15" t="n">
        <v>0.62</v>
      </c>
      <c r="H15" s="11" t="n">
        <v>46245.26388888889</v>
      </c>
    </row>
    <row r="16">
      <c r="A16" t="inlineStr">
        <is>
          <t>CIP-260811-014</t>
        </is>
      </c>
      <c r="B16" t="inlineStr">
        <is>
          <t>water</t>
        </is>
      </c>
      <c r="C16" t="inlineStr">
        <is>
          <t>WATER</t>
        </is>
      </c>
      <c r="E16" t="n">
        <v>4200</v>
      </c>
      <c r="F16" t="inlineStr">
        <is>
          <t>l</t>
        </is>
      </c>
      <c r="G16" t="n">
        <v>0.0022</v>
      </c>
      <c r="H16" s="11" t="n">
        <v>46245.32638888889</v>
      </c>
    </row>
    <row r="17">
      <c r="A17" t="inlineStr">
        <is>
          <t>CIP-260811-014</t>
        </is>
      </c>
      <c r="B17" t="inlineStr">
        <is>
          <t>labour</t>
        </is>
      </c>
      <c r="C17" t="inlineStr">
        <is>
          <t>CREW-C</t>
        </is>
      </c>
      <c r="E17" t="n">
        <v>1.2</v>
      </c>
      <c r="F17" t="inlineStr">
        <is>
          <t>h</t>
        </is>
      </c>
      <c r="G17" t="n">
        <v>24.5</v>
      </c>
      <c r="H17" s="11" t="n">
        <v>46245.32638888889</v>
      </c>
    </row>
  </sheetData>
  <dataValidations count="4">
    <dataValidation sqref="A4:A400" showDropDown="0" showInputMessage="0" showErrorMessage="0" allowBlank="1" errorTitle="Used by" error="Pick one of the listed values." type="list">
      <formula1>=Work_</formula1>
    </dataValidation>
    <dataValidation sqref="B4:B400" showDropDown="0" showInputMessage="0" showErrorMessage="0" allowBlank="1" errorTitle="Category" error="Pick one of the listed values." type="list">
      <formula1>"ingredient,packaging,chemical,water,energy,effluent,labour,equipment,expense"</formula1>
    </dataValidation>
    <dataValidation sqref="C4:C400" showDropDown="0" showInputMessage="0" showErrorMessage="0" allowBlank="1" errorTitle="Item" error="Pick one of the listed values." type="list">
      <formula1>=Items_</formula1>
    </dataValidation>
    <dataValidation sqref="D4:D400" showDropDown="0" showInputMessage="0" showErrorMessage="0" allowBlank="1" errorTitle="Lot" error="Pick one of the listed values." type="list">
      <formula1>=Lots_</formula1>
    </dataValidation>
  </dataValidation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2E7D32"/>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7" customWidth="1" min="1" max="1"/>
    <col width="16" customWidth="1" min="2" max="2"/>
    <col width="12" customWidth="1" min="3" max="3"/>
    <col width="11" customWidth="1" min="4" max="4"/>
    <col width="19" customWidth="1" min="5" max="5"/>
    <col width="11" customWidth="1" min="6" max="6"/>
  </cols>
  <sheetData>
    <row r="1">
      <c r="A1" s="1" t="inlineStr">
        <is>
          <t>What came off the line — good, waste, downgrade and every kind of reject.</t>
        </is>
      </c>
    </row>
    <row r="2">
      <c r="A2" s="5" t="inlineStr">
        <is>
          <t>The reject kinds stay apart. Each one is a different fix owned by a different person, and adding them together ranks the total instead of the cause.</t>
        </is>
      </c>
    </row>
    <row r="3">
      <c r="A3" s="7" t="inlineStr">
        <is>
          <t>Run</t>
        </is>
      </c>
      <c r="B3" s="7" t="inlineStr">
        <is>
          <t>Kind</t>
        </is>
      </c>
      <c r="C3" s="7" t="inlineStr">
        <is>
          <t>Quantity</t>
        </is>
      </c>
      <c r="D3" s="7" t="inlineStr">
        <is>
          <t>Unit</t>
        </is>
      </c>
      <c r="E3" s="7" t="inlineStr">
        <is>
          <t>At</t>
        </is>
      </c>
      <c r="F3" s="8" t="inlineStr">
        <is>
          <t>Delete?</t>
        </is>
      </c>
    </row>
    <row r="4">
      <c r="A4" t="inlineStr">
        <is>
          <t>L01-260810-002</t>
        </is>
      </c>
      <c r="B4" t="inlineStr">
        <is>
          <t>good</t>
        </is>
      </c>
      <c r="C4" t="n">
        <v>1200</v>
      </c>
      <c r="D4" t="inlineStr">
        <is>
          <t>pcs</t>
        </is>
      </c>
      <c r="E4" s="11" t="n">
        <v>46244.95833333334</v>
      </c>
    </row>
    <row r="5">
      <c r="A5" t="inlineStr">
        <is>
          <t>L01-260810-002</t>
        </is>
      </c>
      <c r="B5" t="inlineStr">
        <is>
          <t>reject-weight</t>
        </is>
      </c>
      <c r="C5" t="n">
        <v>3</v>
      </c>
      <c r="D5" t="inlineStr">
        <is>
          <t>pcs</t>
        </is>
      </c>
      <c r="E5" s="11" t="n">
        <v>46244.96111111111</v>
      </c>
    </row>
    <row r="6">
      <c r="A6" t="inlineStr">
        <is>
          <t>L01-260810-002</t>
        </is>
      </c>
      <c r="B6" t="inlineStr">
        <is>
          <t>good</t>
        </is>
      </c>
      <c r="C6" t="n">
        <v>1200</v>
      </c>
      <c r="D6" t="inlineStr">
        <is>
          <t>pcs</t>
        </is>
      </c>
      <c r="E6" s="11" t="n">
        <v>46245</v>
      </c>
    </row>
    <row r="7">
      <c r="A7" t="inlineStr">
        <is>
          <t>L01-260810-002</t>
        </is>
      </c>
      <c r="B7" t="inlineStr">
        <is>
          <t>waste</t>
        </is>
      </c>
      <c r="C7" t="n">
        <v>40</v>
      </c>
      <c r="D7" t="inlineStr">
        <is>
          <t>pcs</t>
        </is>
      </c>
      <c r="E7" s="11" t="n">
        <v>46245.00833333333</v>
      </c>
    </row>
    <row r="8">
      <c r="A8" t="inlineStr">
        <is>
          <t>L01-260810-002</t>
        </is>
      </c>
      <c r="B8" t="inlineStr">
        <is>
          <t>good</t>
        </is>
      </c>
      <c r="C8" t="n">
        <v>1180</v>
      </c>
      <c r="D8" t="inlineStr">
        <is>
          <t>pcs</t>
        </is>
      </c>
      <c r="E8" s="11" t="n">
        <v>46245.04166666666</v>
      </c>
    </row>
    <row r="9">
      <c r="A9" t="inlineStr">
        <is>
          <t>L01-260810-002</t>
        </is>
      </c>
      <c r="B9" t="inlineStr">
        <is>
          <t>reject-metal</t>
        </is>
      </c>
      <c r="C9" t="n">
        <v>1</v>
      </c>
      <c r="D9" t="inlineStr">
        <is>
          <t>pcs</t>
        </is>
      </c>
      <c r="E9" s="11" t="n">
        <v>46245.06944444445</v>
      </c>
    </row>
    <row r="10">
      <c r="A10" t="inlineStr">
        <is>
          <t>L01-260810-002</t>
        </is>
      </c>
      <c r="B10" t="inlineStr">
        <is>
          <t>reject-seal</t>
        </is>
      </c>
      <c r="C10" t="n">
        <v>12</v>
      </c>
      <c r="D10" t="inlineStr">
        <is>
          <t>pcs</t>
        </is>
      </c>
      <c r="E10" s="11" t="n">
        <v>46245.10416666666</v>
      </c>
    </row>
    <row r="11">
      <c r="A11" t="inlineStr">
        <is>
          <t>L01-260810-002</t>
        </is>
      </c>
      <c r="B11" t="inlineStr">
        <is>
          <t>downgrade</t>
        </is>
      </c>
      <c r="C11" t="n">
        <v>220</v>
      </c>
      <c r="D11" t="inlineStr">
        <is>
          <t>pcs</t>
        </is>
      </c>
      <c r="E11" s="11" t="n">
        <v>46245.16319444445</v>
      </c>
    </row>
  </sheetData>
  <dataValidations count="2">
    <dataValidation sqref="A4:A400" showDropDown="0" showInputMessage="0" showErrorMessage="0" allowBlank="1" errorTitle="Run" error="Pick one of the listed values." type="list">
      <formula1>=Work_</formula1>
    </dataValidation>
    <dataValidation sqref="B4:B400" showDropDown="0" showInputMessage="0" showErrorMessage="0" allowBlank="1" errorTitle="Kind" error="Pick one of the listed values." type="list">
      <formula1>"good,waste,downgrade,reject-metal,reject-weight,reject-seal,reject-fill,reject-label"</formula1>
    </dataValidation>
  </dataValidation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2E7D32"/>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17" customWidth="1" min="1" max="1"/>
    <col width="23" customWidth="1" min="2" max="2"/>
    <col width="11" customWidth="1" min="3" max="3"/>
    <col width="18" customWidth="1" min="4" max="4"/>
    <col width="22" customWidth="1" min="5" max="5"/>
    <col width="11" customWidth="1" min="6" max="6"/>
  </cols>
  <sheetData>
    <row r="1">
      <c r="A1" s="1" t="inlineStr">
        <is>
          <t>Everything an instrument read, including individual pack weights.</t>
        </is>
      </c>
    </row>
    <row r="2">
      <c r="A2" s="5" t="inlineStr">
        <is>
          <t>Send every pack weight, never an average. Head 6 running three grams heavy against a 125 g pack is the finding, and an average cannot show it.</t>
        </is>
      </c>
    </row>
    <row r="3">
      <c r="A3" s="7" t="inlineStr">
        <is>
          <t>Measured on</t>
        </is>
      </c>
      <c r="B3" s="7" t="inlineStr">
        <is>
          <t>Measurement</t>
        </is>
      </c>
      <c r="C3" s="7" t="inlineStr">
        <is>
          <t>Value</t>
        </is>
      </c>
      <c r="D3" s="8" t="inlineStr">
        <is>
          <t>Sensor or head</t>
        </is>
      </c>
      <c r="E3" s="7" t="inlineStr">
        <is>
          <t>At</t>
        </is>
      </c>
      <c r="F3" s="8" t="inlineStr">
        <is>
          <t>Delete?</t>
        </is>
      </c>
    </row>
    <row r="4">
      <c r="A4" t="inlineStr">
        <is>
          <t>EQ003</t>
        </is>
      </c>
      <c r="B4" t="inlineStr">
        <is>
          <t>product-temp-inlet</t>
        </is>
      </c>
      <c r="C4" t="n">
        <v>68.09999999999999</v>
      </c>
      <c r="D4" t="inlineStr">
        <is>
          <t>EQ003-TT-IN</t>
        </is>
      </c>
      <c r="E4" s="11" t="n">
        <v>46244.92430555556</v>
      </c>
    </row>
    <row r="5">
      <c r="A5" t="inlineStr">
        <is>
          <t>EQ003</t>
        </is>
      </c>
      <c r="B5" t="inlineStr">
        <is>
          <t>product-temp-holding</t>
        </is>
      </c>
      <c r="C5" t="n">
        <v>74.2</v>
      </c>
      <c r="D5" t="inlineStr">
        <is>
          <t>EQ003-TT-HOLD</t>
        </is>
      </c>
      <c r="E5" s="11" t="n">
        <v>46244.92430555556</v>
      </c>
    </row>
    <row r="6">
      <c r="A6" t="inlineStr">
        <is>
          <t>EQ003</t>
        </is>
      </c>
      <c r="B6" t="inlineStr">
        <is>
          <t>product-temp-holding</t>
        </is>
      </c>
      <c r="C6" t="n">
        <v>74</v>
      </c>
      <c r="D6" t="inlineStr">
        <is>
          <t>EQ003-TT-HOLD-B</t>
        </is>
      </c>
      <c r="E6" s="11" t="n">
        <v>46244.92430555556</v>
      </c>
    </row>
    <row r="7">
      <c r="A7" t="inlineStr">
        <is>
          <t>EQ003</t>
        </is>
      </c>
      <c r="B7" t="inlineStr">
        <is>
          <t>product-temp-outlet</t>
        </is>
      </c>
      <c r="C7" t="n">
        <v>20.4</v>
      </c>
      <c r="D7" t="inlineStr">
        <is>
          <t>EQ003-TT-OUT</t>
        </is>
      </c>
      <c r="E7" s="11" t="n">
        <v>46244.92430555556</v>
      </c>
    </row>
    <row r="8">
      <c r="A8" t="inlineStr">
        <is>
          <t>EQ003</t>
        </is>
      </c>
      <c r="B8" t="inlineStr">
        <is>
          <t>hold-time</t>
        </is>
      </c>
      <c r="C8" t="n">
        <v>15.8</v>
      </c>
      <c r="D8" t="inlineStr">
        <is>
          <t>EQ003-TT-HOLD</t>
        </is>
      </c>
      <c r="E8" s="11" t="n">
        <v>46244.92430555556</v>
      </c>
    </row>
    <row r="9">
      <c r="A9" t="inlineStr">
        <is>
          <t>LINE001</t>
        </is>
      </c>
      <c r="B9" t="inlineStr">
        <is>
          <t>line-speed</t>
        </is>
      </c>
      <c r="C9" t="n">
        <v>412</v>
      </c>
      <c r="E9" s="11" t="n">
        <v>46244.92430555556</v>
      </c>
    </row>
    <row r="10">
      <c r="A10" t="inlineStr">
        <is>
          <t>LINE001</t>
        </is>
      </c>
      <c r="B10" t="inlineStr">
        <is>
          <t>ambient-temp</t>
        </is>
      </c>
      <c r="C10" t="n">
        <v>6.2</v>
      </c>
      <c r="E10" s="11" t="n">
        <v>46244.92430555556</v>
      </c>
    </row>
    <row r="11">
      <c r="A11" t="inlineStr">
        <is>
          <t>LINE001</t>
        </is>
      </c>
      <c r="B11" t="inlineStr">
        <is>
          <t>ambient-humidity</t>
        </is>
      </c>
      <c r="C11" t="n">
        <v>61.4</v>
      </c>
      <c r="E11" s="11" t="n">
        <v>46244.92430555556</v>
      </c>
    </row>
    <row r="12">
      <c r="A12" t="inlineStr">
        <is>
          <t>ROOM-01</t>
        </is>
      </c>
      <c r="B12" t="inlineStr">
        <is>
          <t>cold-room-temp</t>
        </is>
      </c>
      <c r="C12" t="n">
        <v>4.1</v>
      </c>
      <c r="E12" s="11" t="n">
        <v>46244.92361111111</v>
      </c>
    </row>
    <row r="13">
      <c r="A13" t="inlineStr">
        <is>
          <t>ROOM-01</t>
        </is>
      </c>
      <c r="B13" t="inlineStr">
        <is>
          <t>cold-room-temp</t>
        </is>
      </c>
      <c r="C13" t="n">
        <v>7.4</v>
      </c>
      <c r="E13" s="11" t="n">
        <v>46244.92708333334</v>
      </c>
    </row>
    <row r="14">
      <c r="A14" t="inlineStr">
        <is>
          <t>FRZ-01</t>
        </is>
      </c>
      <c r="B14" t="inlineStr">
        <is>
          <t>freezer-door</t>
        </is>
      </c>
      <c r="C14" t="inlineStr">
        <is>
          <t>yes</t>
        </is>
      </c>
      <c r="E14" s="11" t="n">
        <v>46244.94513888889</v>
      </c>
    </row>
    <row r="15">
      <c r="A15" t="inlineStr">
        <is>
          <t>FRZ-01</t>
        </is>
      </c>
      <c r="B15" t="inlineStr">
        <is>
          <t>freezer-door</t>
        </is>
      </c>
      <c r="C15" t="inlineStr">
        <is>
          <t>no</t>
        </is>
      </c>
      <c r="E15" s="11" t="n">
        <v>46244.95694444444</v>
      </c>
    </row>
    <row r="16">
      <c r="A16" t="inlineStr">
        <is>
          <t>L01-260810-002</t>
        </is>
      </c>
      <c r="B16" t="inlineStr">
        <is>
          <t>ph</t>
        </is>
      </c>
      <c r="C16" t="n">
        <v>4.31</v>
      </c>
      <c r="E16" s="11" t="n">
        <v>46244.95833333334</v>
      </c>
    </row>
    <row r="17">
      <c r="A17" t="inlineStr">
        <is>
          <t>L01-260810-002</t>
        </is>
      </c>
      <c r="B17" t="inlineStr">
        <is>
          <t>brix</t>
        </is>
      </c>
      <c r="C17" t="n">
        <v>11.6</v>
      </c>
      <c r="E17" s="11" t="n">
        <v>46244.96875</v>
      </c>
    </row>
    <row r="18">
      <c r="A18" t="inlineStr">
        <is>
          <t>L01-260810-002</t>
        </is>
      </c>
      <c r="B18" t="inlineStr">
        <is>
          <t>fill-weight</t>
        </is>
      </c>
      <c r="C18" t="n">
        <v>128.4</v>
      </c>
      <c r="D18" t="inlineStr">
        <is>
          <t>EQ010-H06</t>
        </is>
      </c>
      <c r="E18" s="12" t="n">
        <v>46244.9243287037</v>
      </c>
    </row>
    <row r="19">
      <c r="A19" t="inlineStr">
        <is>
          <t>L01-260810-002</t>
        </is>
      </c>
      <c r="B19" t="inlineStr">
        <is>
          <t>fill-weight</t>
        </is>
      </c>
      <c r="C19" t="n">
        <v>126.1</v>
      </c>
      <c r="D19" t="inlineStr">
        <is>
          <t>EQ010-H07</t>
        </is>
      </c>
      <c r="E19" s="12" t="n">
        <v>46244.92434027778</v>
      </c>
    </row>
    <row r="20">
      <c r="A20" t="inlineStr">
        <is>
          <t>L01-260810-002</t>
        </is>
      </c>
      <c r="B20" t="inlineStr">
        <is>
          <t>fill-weight</t>
        </is>
      </c>
      <c r="C20" t="n">
        <v>129.7</v>
      </c>
      <c r="D20" t="inlineStr">
        <is>
          <t>EQ010-H06</t>
        </is>
      </c>
      <c r="E20" s="12" t="n">
        <v>46244.92440972223</v>
      </c>
    </row>
    <row r="21">
      <c r="A21" t="inlineStr">
        <is>
          <t>L01-260810-002</t>
        </is>
      </c>
      <c r="B21" t="inlineStr">
        <is>
          <t>fill-weight</t>
        </is>
      </c>
      <c r="C21" t="n">
        <v>125.8</v>
      </c>
      <c r="D21" t="inlineStr">
        <is>
          <t>EQ010-H08</t>
        </is>
      </c>
      <c r="E21" s="12" t="n">
        <v>46244.92443287037</v>
      </c>
    </row>
    <row r="22">
      <c r="A22" t="inlineStr">
        <is>
          <t>L01-260810-002</t>
        </is>
      </c>
      <c r="B22" t="inlineStr">
        <is>
          <t>fill-weight</t>
        </is>
      </c>
      <c r="C22" t="n">
        <v>129.2</v>
      </c>
      <c r="D22" t="inlineStr">
        <is>
          <t>EQ010-H06</t>
        </is>
      </c>
      <c r="E22" s="12" t="n">
        <v>46244.92449074074</v>
      </c>
    </row>
    <row r="23">
      <c r="A23" t="inlineStr">
        <is>
          <t>L01-260810-002</t>
        </is>
      </c>
      <c r="B23" t="inlineStr">
        <is>
          <t>fill-weight</t>
        </is>
      </c>
      <c r="C23" t="n">
        <v>126.4</v>
      </c>
      <c r="D23" t="inlineStr">
        <is>
          <t>EQ010-H07</t>
        </is>
      </c>
      <c r="E23" s="12" t="n">
        <v>46244.92456018519</v>
      </c>
    </row>
  </sheetData>
  <dataValidations count="3">
    <dataValidation sqref="A4:A400" showDropDown="0" showInputMessage="0" showErrorMessage="0" allowBlank="1" errorTitle="Measured on" error="Pick one of the listed values." type="list">
      <formula1>=Subjects_</formula1>
    </dataValidation>
    <dataValidation sqref="B4:B400" showDropDown="0" showInputMessage="0" showErrorMessage="0" allowBlank="1" errorTitle="Measurement" error="Pick one of the listed values." type="list">
      <formula1>=Measurements_</formula1>
    </dataValidation>
    <dataValidation sqref="D4:D400" showDropDown="0" showInputMessage="0" showErrorMessage="0" allowBlank="1" errorTitle="Sensor or head" error="Pick one of the listed values." type="list">
      <formula1>=Machines_</formula1>
    </dataValidation>
  </dataValidation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2E7D32"/>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11" customWidth="1" min="1" max="1"/>
    <col width="20" customWidth="1" min="2" max="2"/>
    <col width="11" customWidth="1" min="3" max="3"/>
    <col width="19" customWidth="1" min="4" max="4"/>
    <col width="11" customWidth="1" min="5" max="5"/>
  </cols>
  <sheetData>
    <row r="1">
      <c r="A1" s="1" t="inlineStr">
        <is>
          <t>What somebody set a machine to. Record it when it changes, not on a timer.</t>
        </is>
      </c>
    </row>
    <row r="2">
      <c r="A2" s="5" t="inlineStr">
        <is>
          <t>Kept apart from readings because what somebody set and what the machine did are different facts. The 130 to 128 change at 02:15 is the whole giveaway story in two rows.</t>
        </is>
      </c>
    </row>
    <row r="3">
      <c r="A3" s="7" t="inlineStr">
        <is>
          <t>Machine</t>
        </is>
      </c>
      <c r="B3" s="7" t="inlineStr">
        <is>
          <t>Setting</t>
        </is>
      </c>
      <c r="C3" s="7" t="inlineStr">
        <is>
          <t>Value</t>
        </is>
      </c>
      <c r="D3" s="7" t="inlineStr">
        <is>
          <t>At</t>
        </is>
      </c>
      <c r="E3" s="8" t="inlineStr">
        <is>
          <t>Delete?</t>
        </is>
      </c>
    </row>
    <row r="4">
      <c r="A4" t="inlineStr">
        <is>
          <t>EQ010</t>
        </is>
      </c>
      <c r="B4" t="inlineStr">
        <is>
          <t>fill-target</t>
        </is>
      </c>
      <c r="C4" t="n">
        <v>130</v>
      </c>
      <c r="D4" s="11" t="n">
        <v>46244.92361111111</v>
      </c>
    </row>
    <row r="5">
      <c r="A5" t="inlineStr">
        <is>
          <t>EQ010</t>
        </is>
      </c>
      <c r="B5" t="inlineStr">
        <is>
          <t>fill-target</t>
        </is>
      </c>
      <c r="C5" t="n">
        <v>128</v>
      </c>
      <c r="D5" s="11" t="n">
        <v>46245.09375</v>
      </c>
    </row>
    <row r="6">
      <c r="A6" t="inlineStr">
        <is>
          <t>EQ003</t>
        </is>
      </c>
      <c r="B6" t="inlineStr">
        <is>
          <t>cip-temp-setpoint</t>
        </is>
      </c>
      <c r="C6" t="n">
        <v>78</v>
      </c>
      <c r="D6" s="11" t="n">
        <v>46245.25347222222</v>
      </c>
    </row>
  </sheetData>
  <dataValidations count="2">
    <dataValidation sqref="A4:A400" showDropDown="0" showInputMessage="0" showErrorMessage="0" allowBlank="1" errorTitle="Machine" error="Pick one of the listed values." type="list">
      <formula1>=Machines_</formula1>
    </dataValidation>
    <dataValidation sqref="B4:B400" showDropDown="0" showInputMessage="0" showErrorMessage="0" allowBlank="1" errorTitle="Setting" error="Pick one of the listed values." type="list">
      <formula1>=SettingsList_</formula1>
    </dataValidation>
  </dataValidation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2E7D32"/>
    <outlinePr summaryBelow="1" summaryRight="1"/>
    <pageSetUpPr/>
  </sheetPr>
  <dimension ref="A1:G7"/>
  <sheetViews>
    <sheetView workbookViewId="0">
      <pane ySplit="3" topLeftCell="A4" activePane="bottomLeft" state="frozen"/>
      <selection pane="bottomLeft" activeCell="A1" sqref="A1"/>
    </sheetView>
  </sheetViews>
  <sheetFormatPr baseColWidth="8" defaultRowHeight="15"/>
  <cols>
    <col width="11" customWidth="1" min="1" max="1"/>
    <col width="15" customWidth="1" min="2" max="2"/>
    <col width="11" customWidth="1" min="3" max="3"/>
    <col width="12" customWidth="1" min="4" max="4"/>
    <col width="19" customWidth="1" min="5" max="5"/>
    <col width="19" customWidth="1" min="6" max="6"/>
    <col width="11" customWidth="1" min="7" max="7"/>
  </cols>
  <sheetData>
    <row r="1">
      <c r="A1" s="1" t="inlineStr">
        <is>
          <t>What the line was doing. Every minute has to land somewhere.</t>
        </is>
      </c>
    </row>
    <row r="2">
      <c r="A2" s="5" t="inlineStr">
        <is>
          <t>These rows are deliberately not in time order, because a clipboard log never is. Any order is fine. What is rejected is two rows covering the same minute.</t>
        </is>
      </c>
    </row>
    <row r="3">
      <c r="A3" s="7" t="inlineStr">
        <is>
          <t>Line</t>
        </is>
      </c>
      <c r="B3" s="7" t="inlineStr">
        <is>
          <t>State</t>
        </is>
      </c>
      <c r="C3" s="8" t="inlineStr">
        <is>
          <t>Reason</t>
        </is>
      </c>
      <c r="D3" s="7" t="inlineStr">
        <is>
          <t>Told by</t>
        </is>
      </c>
      <c r="E3" s="7" t="inlineStr">
        <is>
          <t>From</t>
        </is>
      </c>
      <c r="F3" s="8" t="inlineStr">
        <is>
          <t>To</t>
        </is>
      </c>
      <c r="G3" s="8" t="inlineStr">
        <is>
          <t>Delete?</t>
        </is>
      </c>
    </row>
    <row r="4">
      <c r="A4" t="inlineStr">
        <is>
          <t>LINE001</t>
        </is>
      </c>
      <c r="B4" t="inlineStr">
        <is>
          <t>breakdown</t>
        </is>
      </c>
      <c r="C4" t="inlineStr">
        <is>
          <t>DTCU010</t>
        </is>
      </c>
      <c r="D4" t="inlineStr">
        <is>
          <t>equipment</t>
        </is>
      </c>
      <c r="E4" s="11" t="n">
        <v>46245.15277777778</v>
      </c>
      <c r="F4" s="11" t="n">
        <v>46245.17013888889</v>
      </c>
    </row>
    <row r="5">
      <c r="A5" t="inlineStr">
        <is>
          <t>LINE001</t>
        </is>
      </c>
      <c r="B5" t="inlineStr">
        <is>
          <t>startup-ramp</t>
        </is>
      </c>
      <c r="D5" t="inlineStr">
        <is>
          <t>operator</t>
        </is>
      </c>
      <c r="E5" s="11" t="n">
        <v>46244.91666666666</v>
      </c>
      <c r="F5" s="11" t="n">
        <v>46244.92916666667</v>
      </c>
    </row>
    <row r="6">
      <c r="A6" t="inlineStr">
        <is>
          <t>LINE001</t>
        </is>
      </c>
      <c r="B6" t="inlineStr">
        <is>
          <t>cleaning</t>
        </is>
      </c>
      <c r="D6" t="inlineStr">
        <is>
          <t>operator</t>
        </is>
      </c>
      <c r="E6" s="11" t="n">
        <v>46245.25</v>
      </c>
      <c r="F6" s="11" t="n">
        <v>46245.32638888889</v>
      </c>
    </row>
    <row r="7">
      <c r="A7" t="inlineStr">
        <is>
          <t>LINE001</t>
        </is>
      </c>
      <c r="B7" t="inlineStr">
        <is>
          <t>micro-stop</t>
        </is>
      </c>
      <c r="D7" t="inlineStr">
        <is>
          <t>equipment</t>
        </is>
      </c>
      <c r="E7" s="11" t="n">
        <v>46245.05694444444</v>
      </c>
      <c r="F7" s="11" t="n">
        <v>46245.05972222222</v>
      </c>
    </row>
  </sheetData>
  <dataValidations count="4">
    <dataValidation sqref="A4:A400" showDropDown="0" showInputMessage="0" showErrorMessage="0" allowBlank="1" errorTitle="Line" error="Pick one of the listed values." type="list">
      <formula1>=Lines_</formula1>
    </dataValidation>
    <dataValidation sqref="B4:B400" showDropDown="0" showInputMessage="0" showErrorMessage="0" allowBlank="1" errorTitle="State" error="Pick one of the listed values." type="list">
      <formula1>"breakdown,planned-maintenance,changeover,cleaning,waiting-material,waiting-labour,blocked-downstream,starved-upstream,reduced-speed,micro-stop,startup-ramp,rework-running,not-scheduled"</formula1>
    </dataValidation>
    <dataValidation sqref="C4:C400" showDropDown="0" showInputMessage="0" showErrorMessage="0" allowBlank="1" errorTitle="Reason" error="Pick one of the listed values." type="list">
      <formula1>=Reasons_</formula1>
    </dataValidation>
    <dataValidation sqref="D4:D400" showDropDown="0" showInputMessage="0" showErrorMessage="0" allowBlank="1" errorTitle="Told by" error="Pick one of the listed values." type="list">
      <formula1>"equipment,operator"</formula1>
    </dataValidation>
  </dataValidation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2E7D32"/>
    <outlinePr summaryBelow="1" summaryRight="1"/>
    <pageSetUpPr/>
  </sheetPr>
  <dimension ref="A1:I7"/>
  <sheetViews>
    <sheetView workbookViewId="0">
      <pane ySplit="3" topLeftCell="A4" activePane="bottomLeft" state="frozen"/>
      <selection pane="bottomLeft" activeCell="A1" sqref="A1"/>
    </sheetView>
  </sheetViews>
  <sheetFormatPr baseColWidth="8" defaultRowHeight="15"/>
  <cols>
    <col width="17" customWidth="1" min="1" max="1"/>
    <col width="11" customWidth="1" min="2" max="2"/>
    <col width="17" customWidth="1" min="3" max="3"/>
    <col width="17" customWidth="1" min="4" max="4"/>
    <col width="11" customWidth="1" min="5" max="5"/>
    <col width="12" customWidth="1" min="6" max="6"/>
    <col width="19" customWidth="1" min="7" max="7"/>
    <col width="19" customWidth="1" min="8" max="8"/>
    <col width="11" customWidth="1" min="9" max="9"/>
  </cols>
  <sheetData>
    <row r="1">
      <c r="A1" s="1" t="inlineStr">
        <is>
          <t>Things that happened at a moment, rather than lasting a while.</t>
        </is>
      </c>
    </row>
    <row r="2">
      <c r="A2" s="5" t="inlineStr">
        <is>
          <t>A stoppage belongs both here and on Line time, and both are needed: here it can be counted, there it is time that has to add up.</t>
        </is>
      </c>
    </row>
    <row r="3">
      <c r="A3" s="7" t="inlineStr">
        <is>
          <t>Type</t>
        </is>
      </c>
      <c r="B3" s="7" t="inlineStr">
        <is>
          <t>Line</t>
        </is>
      </c>
      <c r="C3" s="8" t="inlineStr">
        <is>
          <t>Run</t>
        </is>
      </c>
      <c r="D3" s="8" t="inlineStr">
        <is>
          <t>Batch</t>
        </is>
      </c>
      <c r="E3" s="8" t="inlineStr">
        <is>
          <t>Reason</t>
        </is>
      </c>
      <c r="F3" s="8" t="inlineStr">
        <is>
          <t>Severity</t>
        </is>
      </c>
      <c r="G3" s="7" t="inlineStr">
        <is>
          <t>At</t>
        </is>
      </c>
      <c r="H3" s="8" t="inlineStr">
        <is>
          <t>End</t>
        </is>
      </c>
      <c r="I3" s="8" t="inlineStr">
        <is>
          <t>Delete?</t>
        </is>
      </c>
    </row>
    <row r="4">
      <c r="A4" t="inlineStr">
        <is>
          <t>stoppage</t>
        </is>
      </c>
      <c r="B4" t="inlineStr">
        <is>
          <t>LINE001</t>
        </is>
      </c>
      <c r="C4" t="inlineStr">
        <is>
          <t>L01-260810-002</t>
        </is>
      </c>
      <c r="E4" t="inlineStr">
        <is>
          <t>DTCU010</t>
        </is>
      </c>
      <c r="F4" t="n">
        <v>2</v>
      </c>
      <c r="G4" s="11" t="n">
        <v>46245.15277777778</v>
      </c>
      <c r="H4" s="11" t="n">
        <v>46245.17013888889</v>
      </c>
    </row>
    <row r="5">
      <c r="A5" t="inlineStr">
        <is>
          <t>waste</t>
        </is>
      </c>
      <c r="B5" t="inlineStr">
        <is>
          <t>LINE001</t>
        </is>
      </c>
      <c r="C5" t="inlineStr">
        <is>
          <t>L01-260810-002</t>
        </is>
      </c>
      <c r="G5" s="11" t="n">
        <v>46245.00833333333</v>
      </c>
    </row>
    <row r="6">
      <c r="A6" t="inlineStr">
        <is>
          <t>waste</t>
        </is>
      </c>
      <c r="B6" t="inlineStr">
        <is>
          <t>LINE003</t>
        </is>
      </c>
      <c r="D6" t="inlineStr">
        <is>
          <t>BULK-260810-07</t>
        </is>
      </c>
      <c r="G6" s="11" t="n">
        <v>46244.81944444445</v>
      </c>
    </row>
    <row r="7">
      <c r="A7" t="inlineStr">
        <is>
          <t>spec-deviation</t>
        </is>
      </c>
      <c r="B7" t="inlineStr">
        <is>
          <t>LINE001</t>
        </is>
      </c>
      <c r="C7" t="inlineStr">
        <is>
          <t>L01-260810-002</t>
        </is>
      </c>
      <c r="E7" t="inlineStr">
        <is>
          <t>DTCU016</t>
        </is>
      </c>
      <c r="F7" t="n">
        <v>3</v>
      </c>
      <c r="G7" s="11" t="n">
        <v>46245.08680555555</v>
      </c>
    </row>
  </sheetData>
  <dataValidations count="5">
    <dataValidation sqref="A4:A400" showDropDown="0" showInputMessage="0" showErrorMessage="0" allowBlank="1" errorTitle="Type" error="Pick one of the listed values." type="list">
      <formula1>"stoppage,waste,spec-deviation,ccp-deviation,changeover,complaint-linked"</formula1>
    </dataValidation>
    <dataValidation sqref="B4:B400" showDropDown="0" showInputMessage="0" showErrorMessage="0" allowBlank="1" errorTitle="Line" error="Pick one of the listed values." type="list">
      <formula1>=Lines_</formula1>
    </dataValidation>
    <dataValidation sqref="C4:C400" showDropDown="0" showInputMessage="0" showErrorMessage="0" allowBlank="1" errorTitle="Run" error="Pick one of the listed values." type="list">
      <formula1>=Work_</formula1>
    </dataValidation>
    <dataValidation sqref="D4:D400" showDropDown="0" showInputMessage="0" showErrorMessage="0" allowBlank="1" errorTitle="Batch" error="Pick one of the listed values." type="list">
      <formula1>=Work_</formula1>
    </dataValidation>
    <dataValidation sqref="E4:E400" showDropDown="0" showInputMessage="0" showErrorMessage="0" allowBlank="1" errorTitle="Reason" error="Pick one of the listed values." type="list">
      <formula1>=Reasons_</formula1>
    </dataValidation>
  </dataValidation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B26B00"/>
    <outlinePr summaryBelow="1" summaryRight="1"/>
    <pageSetUpPr/>
  </sheetPr>
  <dimension ref="A1:J7"/>
  <sheetViews>
    <sheetView workbookViewId="0">
      <pane ySplit="3" topLeftCell="A4" activePane="bottomLeft" state="frozen"/>
      <selection pane="bottomLeft" activeCell="A1" sqref="A1"/>
    </sheetView>
  </sheetViews>
  <sheetFormatPr baseColWidth="8" defaultRowHeight="15"/>
  <cols>
    <col width="14" customWidth="1" min="1" max="1"/>
    <col width="16" customWidth="1" min="2" max="2"/>
    <col width="20" customWidth="1" min="3" max="3"/>
    <col width="32" customWidth="1" min="4" max="4"/>
    <col width="19" customWidth="1" min="5" max="5"/>
    <col width="19" customWidth="1" min="6" max="6"/>
    <col width="19" customWidth="1" min="7" max="7"/>
    <col width="19" customWidth="1" min="8" max="8"/>
    <col width="22" customWidth="1" min="9" max="9"/>
    <col width="11" customWidth="1" min="10" max="10"/>
  </cols>
  <sheetData>
    <row r="1">
      <c r="A1" s="1" t="inlineStr">
        <is>
          <t>Repairs and servicing. One row per work order.</t>
        </is>
      </c>
    </row>
    <row r="2">
      <c r="A2" s="5" t="inlineStr">
        <is>
          <t>All four combinations are here. WO-8842 is the one people forget: a repair that was planned. It still counts against the life of the part, but it is not unplanned downtime.</t>
        </is>
      </c>
    </row>
    <row r="3">
      <c r="A3" s="7" t="inlineStr">
        <is>
          <t>Work order</t>
        </is>
      </c>
      <c r="B3" s="7" t="inlineStr">
        <is>
          <t>Equipment</t>
        </is>
      </c>
      <c r="C3" s="7" t="inlineStr">
        <is>
          <t>Fixing a failure</t>
        </is>
      </c>
      <c r="D3" s="8" t="inlineStr">
        <is>
          <t>Reason</t>
        </is>
      </c>
      <c r="E3" s="8" t="inlineStr">
        <is>
          <t>Planned start</t>
        </is>
      </c>
      <c r="F3" s="8" t="inlineStr">
        <is>
          <t>Planned end</t>
        </is>
      </c>
      <c r="G3" s="7" t="inlineStr">
        <is>
          <t>Start</t>
        </is>
      </c>
      <c r="H3" s="8" t="inlineStr">
        <is>
          <t>End</t>
        </is>
      </c>
      <c r="I3" s="8" t="inlineStr">
        <is>
          <t>Line state</t>
        </is>
      </c>
      <c r="J3" s="8" t="inlineStr">
        <is>
          <t>Delete?</t>
        </is>
      </c>
    </row>
    <row r="4">
      <c r="A4" t="inlineStr">
        <is>
          <t>WO-8821</t>
        </is>
      </c>
      <c r="B4" t="inlineStr">
        <is>
          <t>EQ010-H06-NOZ</t>
        </is>
      </c>
      <c r="C4" t="inlineStr">
        <is>
          <t>yes</t>
        </is>
      </c>
      <c r="D4" t="inlineStr">
        <is>
          <t>Head 6 nozzle blocked</t>
        </is>
      </c>
      <c r="G4" s="11" t="n">
        <v>46245.15416666667</v>
      </c>
      <c r="H4" s="11" t="n">
        <v>46245.17013888889</v>
      </c>
      <c r="I4" t="inlineStr">
        <is>
          <t>breakdown</t>
        </is>
      </c>
    </row>
    <row r="5">
      <c r="A5" t="inlineStr">
        <is>
          <t>WO-8830</t>
        </is>
      </c>
      <c r="B5" t="inlineStr">
        <is>
          <t>EQ003</t>
        </is>
      </c>
      <c r="C5" t="inlineStr">
        <is>
          <t>no</t>
        </is>
      </c>
      <c r="D5" t="inlineStr">
        <is>
          <t>Quarterly plate pack inspection</t>
        </is>
      </c>
      <c r="E5" s="11" t="n">
        <v>46248.33333333334</v>
      </c>
      <c r="F5" s="11" t="n">
        <v>46248.45833333334</v>
      </c>
      <c r="G5" s="11" t="n">
        <v>46248.34166666667</v>
      </c>
      <c r="H5" s="11" t="n">
        <v>46248.47222222222</v>
      </c>
      <c r="I5" t="inlineStr">
        <is>
          <t>planned-maintenance</t>
        </is>
      </c>
    </row>
    <row r="6">
      <c r="A6" t="inlineStr">
        <is>
          <t>WO-8842</t>
        </is>
      </c>
      <c r="B6" t="inlineStr">
        <is>
          <t>EQ010</t>
        </is>
      </c>
      <c r="C6" t="inlineStr">
        <is>
          <t>yes</t>
        </is>
      </c>
      <c r="D6" t="inlineStr">
        <is>
          <t>Worn filler seal, deferred to shutdown</t>
        </is>
      </c>
      <c r="E6" s="11" t="n">
        <v>46257.25</v>
      </c>
      <c r="F6" s="11" t="n">
        <v>46257.375</v>
      </c>
      <c r="G6" s="11" t="n">
        <v>46257.25347222222</v>
      </c>
      <c r="H6" s="11" t="n">
        <v>46257.36111111111</v>
      </c>
      <c r="I6" t="inlineStr">
        <is>
          <t>planned-maintenance</t>
        </is>
      </c>
    </row>
    <row r="7">
      <c r="A7" t="inlineStr">
        <is>
          <t>WO-8849</t>
        </is>
      </c>
      <c r="B7" t="inlineStr">
        <is>
          <t>EQ021</t>
        </is>
      </c>
      <c r="C7" t="inlineStr">
        <is>
          <t>no</t>
        </is>
      </c>
      <c r="D7" t="inlineStr">
        <is>
          <t>Chain lubrication taken during upstream stoppage</t>
        </is>
      </c>
      <c r="G7" s="11" t="n">
        <v>46259.59722222222</v>
      </c>
      <c r="H7" s="11" t="n">
        <v>46259.61458333334</v>
      </c>
    </row>
  </sheetData>
  <dataValidations count="3">
    <dataValidation sqref="B4:B400" showDropDown="0" showInputMessage="0" showErrorMessage="0" allowBlank="1" errorTitle="Equipment" error="Pick one of the listed values." type="list">
      <formula1>=Machines_</formula1>
    </dataValidation>
    <dataValidation sqref="C4:C400" showDropDown="0" showInputMessage="0" showErrorMessage="0" allowBlank="1" errorTitle="Fixing a failure" error="Pick one of the listed values." type="list">
      <formula1>"yes,no"</formula1>
    </dataValidation>
    <dataValidation sqref="I4:I400" showDropDown="0" showInputMessage="0" showErrorMessage="0" allowBlank="1" errorTitle="Line state" error="Pick one of the listed values." type="list">
      <formula1>"breakdown,planned-maintenance,changeover,cleaning,waiting-material,waiting-labour,blocked-downstream,starved-upstream,reduced-speed,micro-stop,startup-ramp,rework-running,not-scheduled"</formula1>
    </dataValidation>
  </dataValidation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B26B00"/>
    <outlinePr summaryBelow="1" summaryRight="1"/>
    <pageSetUpPr/>
  </sheetPr>
  <dimension ref="A1:J11"/>
  <sheetViews>
    <sheetView workbookViewId="0">
      <pane ySplit="3" topLeftCell="A4" activePane="bottomLeft" state="frozen"/>
      <selection pane="bottomLeft" activeCell="A1" sqref="A1"/>
    </sheetView>
  </sheetViews>
  <sheetFormatPr baseColWidth="8" defaultRowHeight="15"/>
  <cols>
    <col width="14" customWidth="1" min="1" max="1"/>
    <col width="13" customWidth="1" min="2" max="2"/>
    <col width="20" customWidth="1" min="3" max="3"/>
    <col width="16" customWidth="1" min="4" max="4"/>
    <col width="20" customWidth="1" min="5" max="5"/>
    <col width="19" customWidth="1" min="6" max="6"/>
    <col width="11" customWidth="1" min="7" max="7"/>
    <col width="14" customWidth="1" min="8" max="8"/>
    <col width="19" customWidth="1" min="9" max="9"/>
    <col width="11" customWidth="1" min="10" max="10"/>
  </cols>
  <sheetData>
    <row r="1">
      <c r="A1" s="1" t="inlineStr">
        <is>
          <t>What each work order used, and what it was meant to use.</t>
        </is>
      </c>
    </row>
    <row r="2">
      <c r="A2" s="5" t="inlineStr">
        <is>
          <t>Planned and actual sit on the same row so the overrun is visible while you type it. Unplanned work has no planned figures, which is itself the argument for planning more of it.</t>
        </is>
      </c>
    </row>
    <row r="3">
      <c r="A3" s="7" t="inlineStr">
        <is>
          <t>Work order</t>
        </is>
      </c>
      <c r="B3" s="7" t="inlineStr">
        <is>
          <t>Category</t>
        </is>
      </c>
      <c r="C3" s="7" t="inlineStr">
        <is>
          <t>Item</t>
        </is>
      </c>
      <c r="D3" s="8" t="inlineStr">
        <is>
          <t>Lot</t>
        </is>
      </c>
      <c r="E3" s="8" t="inlineStr">
        <is>
          <t>Planned quantity</t>
        </is>
      </c>
      <c r="F3" s="8" t="inlineStr">
        <is>
          <t>Actual quantity</t>
        </is>
      </c>
      <c r="G3" s="7" t="inlineStr">
        <is>
          <t>Unit</t>
        </is>
      </c>
      <c r="H3" s="8" t="inlineStr">
        <is>
          <t>Unit value</t>
        </is>
      </c>
      <c r="I3" s="8" t="inlineStr">
        <is>
          <t>At</t>
        </is>
      </c>
      <c r="J3" s="8" t="inlineStr">
        <is>
          <t>Delete?</t>
        </is>
      </c>
    </row>
    <row r="4">
      <c r="A4" t="inlineStr">
        <is>
          <t>WO-8821</t>
        </is>
      </c>
      <c r="B4" t="inlineStr">
        <is>
          <t>labour</t>
        </is>
      </c>
      <c r="C4" t="inlineStr">
        <is>
          <t>CREW-MAINT</t>
        </is>
      </c>
      <c r="F4" t="n">
        <v>0.4</v>
      </c>
      <c r="G4" t="inlineStr">
        <is>
          <t>h</t>
        </is>
      </c>
      <c r="H4" t="n">
        <v>31</v>
      </c>
      <c r="I4" s="11" t="n">
        <v>46245.17013888889</v>
      </c>
    </row>
    <row r="5">
      <c r="A5" t="inlineStr">
        <is>
          <t>WO-8821</t>
        </is>
      </c>
      <c r="B5" t="inlineStr">
        <is>
          <t>ingredient</t>
        </is>
      </c>
      <c r="C5" t="inlineStr">
        <is>
          <t>MAT-NOZZLE-N4471B</t>
        </is>
      </c>
      <c r="D5" t="inlineStr">
        <is>
          <t>IN-260612-201</t>
        </is>
      </c>
      <c r="F5" t="n">
        <v>1</v>
      </c>
      <c r="G5" t="inlineStr">
        <is>
          <t>pcs</t>
        </is>
      </c>
      <c r="H5" t="n">
        <v>62</v>
      </c>
      <c r="I5" s="11" t="n">
        <v>46245.17013888889</v>
      </c>
    </row>
    <row r="6">
      <c r="A6" t="inlineStr">
        <is>
          <t>WO-8830</t>
        </is>
      </c>
      <c r="B6" t="inlineStr">
        <is>
          <t>labour</t>
        </is>
      </c>
      <c r="C6" t="inlineStr">
        <is>
          <t>CREW-MAINT</t>
        </is>
      </c>
      <c r="E6" t="n">
        <v>3</v>
      </c>
      <c r="F6" t="n">
        <v>3.4</v>
      </c>
      <c r="G6" t="inlineStr">
        <is>
          <t>h</t>
        </is>
      </c>
      <c r="H6" t="n">
        <v>31</v>
      </c>
      <c r="I6" s="11" t="n">
        <v>46248.47222222222</v>
      </c>
    </row>
    <row r="7">
      <c r="A7" t="inlineStr">
        <is>
          <t>WO-8830</t>
        </is>
      </c>
      <c r="B7" t="inlineStr">
        <is>
          <t>ingredient</t>
        </is>
      </c>
      <c r="C7" t="inlineStr">
        <is>
          <t>MAT-GASKET-P3</t>
        </is>
      </c>
      <c r="D7" t="inlineStr">
        <is>
          <t>IN-260701-088</t>
        </is>
      </c>
      <c r="E7" t="n">
        <v>8</v>
      </c>
      <c r="F7" t="n">
        <v>8</v>
      </c>
      <c r="G7" t="inlineStr">
        <is>
          <t>pcs</t>
        </is>
      </c>
      <c r="H7" t="n">
        <v>4.2</v>
      </c>
      <c r="I7" s="11" t="n">
        <v>46248.47222222222</v>
      </c>
    </row>
    <row r="8">
      <c r="A8" t="inlineStr">
        <is>
          <t>WO-8830</t>
        </is>
      </c>
      <c r="B8" t="inlineStr">
        <is>
          <t>equipment</t>
        </is>
      </c>
      <c r="C8" t="inlineStr">
        <is>
          <t>EQ003</t>
        </is>
      </c>
      <c r="F8" t="n">
        <v>3.4</v>
      </c>
      <c r="G8" t="inlineStr">
        <is>
          <t>h</t>
        </is>
      </c>
      <c r="H8" t="n">
        <v>9</v>
      </c>
      <c r="I8" s="11" t="n">
        <v>46248.47222222222</v>
      </c>
    </row>
    <row r="9">
      <c r="A9" t="inlineStr">
        <is>
          <t>WO-8842</t>
        </is>
      </c>
      <c r="B9" t="inlineStr">
        <is>
          <t>labour</t>
        </is>
      </c>
      <c r="C9" t="inlineStr">
        <is>
          <t>CREW-MAINT</t>
        </is>
      </c>
      <c r="E9" t="n">
        <v>3</v>
      </c>
      <c r="F9" t="n">
        <v>2.6</v>
      </c>
      <c r="G9" t="inlineStr">
        <is>
          <t>h</t>
        </is>
      </c>
      <c r="H9" t="n">
        <v>31</v>
      </c>
      <c r="I9" s="11" t="n">
        <v>46257.36111111111</v>
      </c>
    </row>
    <row r="10">
      <c r="A10" t="inlineStr">
        <is>
          <t>WO-8842</t>
        </is>
      </c>
      <c r="B10" t="inlineStr">
        <is>
          <t>expense</t>
        </is>
      </c>
      <c r="C10" t="inlineStr">
        <is>
          <t>EXP-SUBCONTRACT</t>
        </is>
      </c>
      <c r="F10" t="n">
        <v>1</v>
      </c>
      <c r="G10" t="inlineStr">
        <is>
          <t>job</t>
        </is>
      </c>
      <c r="H10" t="n">
        <v>480</v>
      </c>
      <c r="I10" s="11" t="n">
        <v>46257.36111111111</v>
      </c>
    </row>
    <row r="11">
      <c r="A11" t="inlineStr">
        <is>
          <t>WO-8849</t>
        </is>
      </c>
      <c r="B11" t="inlineStr">
        <is>
          <t>labour</t>
        </is>
      </c>
      <c r="C11" t="inlineStr">
        <is>
          <t>CREW-MAINT</t>
        </is>
      </c>
      <c r="F11" t="n">
        <v>0.4</v>
      </c>
      <c r="G11" t="inlineStr">
        <is>
          <t>h</t>
        </is>
      </c>
      <c r="H11" t="n">
        <v>31</v>
      </c>
      <c r="I11" s="11" t="n">
        <v>46259.61458333334</v>
      </c>
    </row>
  </sheetData>
  <dataValidations count="4">
    <dataValidation sqref="A4:A400" showDropDown="0" showInputMessage="0" showErrorMessage="0" allowBlank="1" errorTitle="Work order" error="Pick one of the listed values." type="list">
      <formula1>=Orders_</formula1>
    </dataValidation>
    <dataValidation sqref="B4:B400" showDropDown="0" showInputMessage="0" showErrorMessage="0" allowBlank="1" errorTitle="Category" error="Pick one of the listed values." type="list">
      <formula1>"ingredient,labour,equipment,expense,chemical,water,energy"</formula1>
    </dataValidation>
    <dataValidation sqref="C4:C400" showDropDown="0" showInputMessage="0" showErrorMessage="0" allowBlank="1" errorTitle="Item" error="Pick one of the listed values." type="list">
      <formula1>=Items_</formula1>
    </dataValidation>
    <dataValidation sqref="D4:D400" showDropDown="0" showInputMessage="0" showErrorMessage="0" allowBlank="1" errorTitle="Lot" error="Pick one of the listed values." type="list">
      <formula1>=Lots_</formula1>
    </dataValidation>
  </dataValidation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26B0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6" customWidth="1" min="1" max="1"/>
    <col width="12" customWidth="1" min="2" max="2"/>
    <col width="16" customWidth="1" min="3" max="3"/>
    <col width="11" customWidth="1" min="4" max="4"/>
    <col width="21" customWidth="1" min="5" max="5"/>
    <col width="32" customWidth="1" min="6" max="6"/>
    <col width="12" customWidth="1" min="7" max="7"/>
    <col width="11" customWidth="1" min="8" max="8"/>
    <col width="12" customWidth="1" min="9" max="9"/>
    <col width="25" customWidth="1" min="10" max="10"/>
    <col width="19" customWidth="1" min="11" max="11"/>
    <col width="11" customWidth="1" min="12" max="12"/>
    <col width="14" customWidth="1" min="13" max="13"/>
    <col width="11" customWidth="1" min="14" max="14"/>
    <col width="19" customWidth="1" min="15" max="15"/>
    <col width="19" customWidth="1" min="16" max="16"/>
    <col width="11" customWidth="1" min="17" max="17"/>
  </cols>
  <sheetData>
    <row r="1">
      <c r="A1" s="1" t="inlineStr">
        <is>
          <t>Customer complaints. Fill the right-hand columns once it is settled.</t>
        </is>
      </c>
    </row>
    <row r="2">
      <c r="A2" s="5" t="inlineStr">
        <is>
          <t>0413 and 0431 are the same fault on different lots, five days apart, and that pair is the finding. 0448 came in as spoilage and turned out to be a seal failure — that is the most valuable cell on the tab, and one reason column would have destroyed it.</t>
        </is>
      </c>
    </row>
    <row r="3">
      <c r="A3" s="7" t="inlineStr">
        <is>
          <t>Complaint</t>
        </is>
      </c>
      <c r="B3" s="7" t="inlineStr">
        <is>
          <t>Customer</t>
        </is>
      </c>
      <c r="C3" s="7" t="inlineStr">
        <is>
          <t>Lot</t>
        </is>
      </c>
      <c r="D3" s="7" t="inlineStr">
        <is>
          <t>Product</t>
        </is>
      </c>
      <c r="E3" s="7" t="inlineStr">
        <is>
          <t>Reason</t>
        </is>
      </c>
      <c r="F3" s="8" t="inlineStr">
        <is>
          <t>Detail</t>
        </is>
      </c>
      <c r="G3" s="8" t="inlineStr">
        <is>
          <t>Quantity</t>
        </is>
      </c>
      <c r="H3" s="8" t="inlineStr">
        <is>
          <t>Unit</t>
        </is>
      </c>
      <c r="I3" s="8" t="inlineStr">
        <is>
          <t>Severity</t>
        </is>
      </c>
      <c r="J3" s="7" t="inlineStr">
        <is>
          <t>When customer noticed</t>
        </is>
      </c>
      <c r="K3" s="7" t="inlineStr">
        <is>
          <t>When we heard</t>
        </is>
      </c>
      <c r="L3" s="8" t="inlineStr">
        <is>
          <t>Outcome</t>
        </is>
      </c>
      <c r="M3" s="8" t="inlineStr">
        <is>
          <t>Settlement</t>
        </is>
      </c>
      <c r="N3" s="8" t="inlineStr">
        <is>
          <t>Cost</t>
        </is>
      </c>
      <c r="O3" s="8" t="inlineStr">
        <is>
          <t>Cause found</t>
        </is>
      </c>
      <c r="P3" s="8" t="inlineStr">
        <is>
          <t>Settled at</t>
        </is>
      </c>
      <c r="Q3" s="8" t="inlineStr">
        <is>
          <t>Delete?</t>
        </is>
      </c>
    </row>
    <row r="4">
      <c r="A4" t="inlineStr">
        <is>
          <t>CMP-2026-0413</t>
        </is>
      </c>
      <c r="B4" t="inlineStr">
        <is>
          <t>CUS001</t>
        </is>
      </c>
      <c r="C4" t="inlineStr">
        <is>
          <t>FG-260810-113</t>
        </is>
      </c>
      <c r="D4" t="inlineStr">
        <is>
          <t>PRD001</t>
        </is>
      </c>
      <c r="E4" t="inlineStr">
        <is>
          <t>CMP-FOREIGN-BODY</t>
        </is>
      </c>
      <c r="F4" t="inlineStr">
        <is>
          <t>Blue plastic fragment about 4mm in the cup</t>
        </is>
      </c>
      <c r="G4" t="n">
        <v>6</v>
      </c>
      <c r="H4" t="inlineStr">
        <is>
          <t>pcs</t>
        </is>
      </c>
      <c r="I4" t="n">
        <v>4</v>
      </c>
      <c r="J4" s="10" t="n">
        <v>46253</v>
      </c>
      <c r="K4" s="11" t="n">
        <v>46258.38333333333</v>
      </c>
      <c r="L4" t="inlineStr">
        <is>
          <t>upheld</t>
        </is>
      </c>
      <c r="M4" t="inlineStr">
        <is>
          <t>credit</t>
        </is>
      </c>
      <c r="N4" t="n">
        <v>184.5</v>
      </c>
      <c r="O4" t="inlineStr">
        <is>
          <t>CMP-FOREIGN-BODY</t>
        </is>
      </c>
      <c r="P4" s="11" t="n">
        <v>46267.58333333334</v>
      </c>
    </row>
    <row r="5">
      <c r="A5" t="inlineStr">
        <is>
          <t>CMP-2026-0417</t>
        </is>
      </c>
      <c r="B5" t="inlineStr">
        <is>
          <t>CUS002</t>
        </is>
      </c>
      <c r="C5" t="inlineStr">
        <is>
          <t>FG-260810-113</t>
        </is>
      </c>
      <c r="D5" t="inlineStr">
        <is>
          <t>PRD001</t>
        </is>
      </c>
      <c r="E5" t="inlineStr">
        <is>
          <t>CMP-UNDERWEIGHT</t>
        </is>
      </c>
      <c r="F5" t="inlineStr">
        <is>
          <t>Under the declared weight on 3 of 12 checked</t>
        </is>
      </c>
      <c r="G5" t="n">
        <v>3</v>
      </c>
      <c r="H5" t="inlineStr">
        <is>
          <t>pcs</t>
        </is>
      </c>
      <c r="I5" t="n">
        <v>2</v>
      </c>
      <c r="J5" s="10" t="n">
        <v>46255</v>
      </c>
      <c r="K5" s="11" t="n">
        <v>46259.61111111111</v>
      </c>
      <c r="L5" t="inlineStr">
        <is>
          <t>upheld</t>
        </is>
      </c>
      <c r="M5" t="inlineStr">
        <is>
          <t>credit</t>
        </is>
      </c>
      <c r="N5" t="n">
        <v>41.2</v>
      </c>
      <c r="O5" t="inlineStr">
        <is>
          <t>CMP-UNDERWEIGHT</t>
        </is>
      </c>
      <c r="P5" s="11" t="n">
        <v>46268.41666666666</v>
      </c>
    </row>
    <row r="6">
      <c r="A6" t="inlineStr">
        <is>
          <t>CMP-2026-0431</t>
        </is>
      </c>
      <c r="B6" t="inlineStr">
        <is>
          <t>CUS001</t>
        </is>
      </c>
      <c r="C6" t="inlineStr">
        <is>
          <t>FG-260817-204</t>
        </is>
      </c>
      <c r="D6" t="inlineStr">
        <is>
          <t>PRD001</t>
        </is>
      </c>
      <c r="E6" t="inlineStr">
        <is>
          <t>CMP-FOREIGN-BODY</t>
        </is>
      </c>
      <c r="F6" t="inlineStr">
        <is>
          <t>Blue plastic fragment, looks the same as 0413</t>
        </is>
      </c>
      <c r="G6" t="n">
        <v>2</v>
      </c>
      <c r="H6" t="inlineStr">
        <is>
          <t>pcs</t>
        </is>
      </c>
      <c r="I6" t="n">
        <v>4</v>
      </c>
      <c r="J6" s="10" t="n">
        <v>46262</v>
      </c>
      <c r="K6" s="11" t="n">
        <v>46266.33680555555</v>
      </c>
      <c r="L6" t="inlineStr">
        <is>
          <t>upheld</t>
        </is>
      </c>
      <c r="M6" t="inlineStr">
        <is>
          <t>replacement</t>
        </is>
      </c>
      <c r="N6" t="n">
        <v>96</v>
      </c>
      <c r="O6" t="inlineStr">
        <is>
          <t>CMP-FOREIGN-BODY</t>
        </is>
      </c>
      <c r="P6" s="11" t="n">
        <v>46275.39583333334</v>
      </c>
    </row>
    <row r="7">
      <c r="A7" t="inlineStr">
        <is>
          <t>CMP-2026-0448</t>
        </is>
      </c>
      <c r="B7" t="inlineStr">
        <is>
          <t>CUS003</t>
        </is>
      </c>
      <c r="C7" t="inlineStr">
        <is>
          <t>FG-260824-097</t>
        </is>
      </c>
      <c r="D7" t="inlineStr">
        <is>
          <t>PRD001</t>
        </is>
      </c>
      <c r="E7" t="inlineStr">
        <is>
          <t>CMP-EARLY-SPOILAGE</t>
        </is>
      </c>
      <c r="F7" t="inlineStr">
        <is>
          <t>Blown at 9 days against 21 declared</t>
        </is>
      </c>
      <c r="G7" t="n">
        <v>24</v>
      </c>
      <c r="H7" t="inlineStr">
        <is>
          <t>pcs</t>
        </is>
      </c>
      <c r="I7" t="n">
        <v>5</v>
      </c>
      <c r="J7" s="10" t="n">
        <v>46267</v>
      </c>
      <c r="K7" s="11" t="n">
        <v>46269.47222222222</v>
      </c>
      <c r="L7" t="inlineStr">
        <is>
          <t>upheld</t>
        </is>
      </c>
      <c r="M7" t="inlineStr">
        <is>
          <t>credit</t>
        </is>
      </c>
      <c r="N7" t="n">
        <v>512</v>
      </c>
      <c r="O7" t="inlineStr">
        <is>
          <t>CMP-SEAL-FAILURE</t>
        </is>
      </c>
      <c r="P7" s="11" t="n">
        <v>46280.66666666666</v>
      </c>
    </row>
  </sheetData>
  <dataValidations count="6">
    <dataValidation sqref="B4:B400" showDropDown="0" showInputMessage="0" showErrorMessage="0" allowBlank="1" errorTitle="Customer" error="Pick one of the listed values." type="list">
      <formula1>=Customers_</formula1>
    </dataValidation>
    <dataValidation sqref="D4:D400" showDropDown="0" showInputMessage="0" showErrorMessage="0" allowBlank="1" errorTitle="Product" error="Pick one of the listed values." type="list">
      <formula1>=Products_</formula1>
    </dataValidation>
    <dataValidation sqref="E4:E400" showDropDown="0" showInputMessage="0" showErrorMessage="0" allowBlank="1" errorTitle="Reason" error="Pick one of the listed values." type="list">
      <formula1>=Reasons_</formula1>
    </dataValidation>
    <dataValidation sqref="L4:L400" showDropDown="0" showInputMessage="0" showErrorMessage="0" allowBlank="1" errorTitle="Outcome" error="Pick one of the listed values." type="list">
      <formula1>"upheld,rejected,goodwill"</formula1>
    </dataValidation>
    <dataValidation sqref="M4:M400" showDropDown="0" showInputMessage="0" showErrorMessage="0" allowBlank="1" errorTitle="Settlement" error="Pick one of the listed values." type="list">
      <formula1>"credit,replacement,collection,none"</formula1>
    </dataValidation>
    <dataValidation sqref="O4:O400" showDropDown="0" showInputMessage="0" showErrorMessage="0" allowBlank="1" errorTitle="Cause found" error="Pick one of the listed values." type="list">
      <formula1>=Reasons_</formula1>
    </dataValidation>
  </dataValidation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3:J503"/>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3">
      <c r="A3" t="inlineStr">
        <is>
          <t>Sites, lines and machines</t>
        </is>
      </c>
      <c r="B3" t="inlineStr">
        <is>
          <t>Allergens</t>
        </is>
      </c>
      <c r="C3" t="inlineStr">
        <is>
          <t>Storage</t>
        </is>
      </c>
      <c r="D3" t="inlineStr">
        <is>
          <t>Origins</t>
        </is>
      </c>
      <c r="E3" t="inlineStr">
        <is>
          <t>Pack formats</t>
        </is>
      </c>
      <c r="F3" t="inlineStr">
        <is>
          <t>Anything you can use</t>
        </is>
      </c>
      <c r="G3" t="inlineStr">
        <is>
          <t>Anything you can measure</t>
        </is>
      </c>
      <c r="H3" t="inlineStr">
        <is>
          <t>Work in this file</t>
        </is>
      </c>
      <c r="I3" t="inlineStr">
        <is>
          <t>Measurements</t>
        </is>
      </c>
      <c r="J3" t="inlineStr">
        <is>
          <t>Settings</t>
        </is>
      </c>
    </row>
    <row r="4">
      <c r="A4">
        <f>IF('Sites'!$A$4="","",'Sites'!$A$4)</f>
        <v/>
      </c>
      <c r="B4">
        <f>IF('Types'!$A$4="Allergen",'Types'!$C$4,"")</f>
        <v/>
      </c>
      <c r="C4">
        <f>IF('Types'!$A$4="Storage",'Types'!$C$4,"")</f>
        <v/>
      </c>
      <c r="D4">
        <f>IF('Types'!$A$4="Origin",'Types'!$C$4,"")</f>
        <v/>
      </c>
      <c r="E4">
        <f>IF('Types'!$A$4="Pack format",'Types'!$C$4,"")</f>
        <v/>
      </c>
      <c r="F4">
        <f>IF('Materials'!$A$4="","",'Materials'!$A$4)</f>
        <v/>
      </c>
      <c r="G4">
        <f>IF('Production lines'!$A$4="","",'Production lines'!$A$4)</f>
        <v/>
      </c>
      <c r="H4">
        <f>IF('Runs'!$A$4="","",'Runs'!$A$4)</f>
        <v/>
      </c>
      <c r="I4">
        <f>IF('What you measure'!$F$4="a setting","",'What you measure'!$A$4)</f>
        <v/>
      </c>
      <c r="J4">
        <f>IF('What you measure'!$F$4="a setting",'What you measure'!$A$4,"")</f>
        <v/>
      </c>
    </row>
    <row r="5">
      <c r="A5">
        <f>IF('Sites'!$A$5="","",'Sites'!$A$5)</f>
        <v/>
      </c>
      <c r="B5">
        <f>IF('Types'!$A$5="Allergen",'Types'!$C$5,"")</f>
        <v/>
      </c>
      <c r="C5">
        <f>IF('Types'!$A$5="Storage",'Types'!$C$5,"")</f>
        <v/>
      </c>
      <c r="D5">
        <f>IF('Types'!$A$5="Origin",'Types'!$C$5,"")</f>
        <v/>
      </c>
      <c r="E5">
        <f>IF('Types'!$A$5="Pack format",'Types'!$C$5,"")</f>
        <v/>
      </c>
      <c r="F5">
        <f>IF('Materials'!$A$5="","",'Materials'!$A$5)</f>
        <v/>
      </c>
      <c r="G5">
        <f>IF('Production lines'!$A$5="","",'Production lines'!$A$5)</f>
        <v/>
      </c>
      <c r="H5">
        <f>IF('Runs'!$A$5="","",'Runs'!$A$5)</f>
        <v/>
      </c>
      <c r="I5">
        <f>IF('What you measure'!$F$5="a setting","",'What you measure'!$A$5)</f>
        <v/>
      </c>
      <c r="J5">
        <f>IF('What you measure'!$F$5="a setting",'What you measure'!$A$5,"")</f>
        <v/>
      </c>
    </row>
    <row r="6">
      <c r="A6">
        <f>IF('Sites'!$A$6="","",'Sites'!$A$6)</f>
        <v/>
      </c>
      <c r="B6">
        <f>IF('Types'!$A$6="Allergen",'Types'!$C$6,"")</f>
        <v/>
      </c>
      <c r="C6">
        <f>IF('Types'!$A$6="Storage",'Types'!$C$6,"")</f>
        <v/>
      </c>
      <c r="D6">
        <f>IF('Types'!$A$6="Origin",'Types'!$C$6,"")</f>
        <v/>
      </c>
      <c r="E6">
        <f>IF('Types'!$A$6="Pack format",'Types'!$C$6,"")</f>
        <v/>
      </c>
      <c r="F6">
        <f>IF('Materials'!$A$6="","",'Materials'!$A$6)</f>
        <v/>
      </c>
      <c r="G6">
        <f>IF('Production lines'!$A$6="","",'Production lines'!$A$6)</f>
        <v/>
      </c>
      <c r="H6">
        <f>IF('Runs'!$A$6="","",'Runs'!$A$6)</f>
        <v/>
      </c>
      <c r="I6">
        <f>IF('What you measure'!$F$6="a setting","",'What you measure'!$A$6)</f>
        <v/>
      </c>
      <c r="J6">
        <f>IF('What you measure'!$F$6="a setting",'What you measure'!$A$6,"")</f>
        <v/>
      </c>
    </row>
    <row r="7">
      <c r="A7">
        <f>IF('Sites'!$A$7="","",'Sites'!$A$7)</f>
        <v/>
      </c>
      <c r="B7">
        <f>IF('Types'!$A$7="Allergen",'Types'!$C$7,"")</f>
        <v/>
      </c>
      <c r="C7">
        <f>IF('Types'!$A$7="Storage",'Types'!$C$7,"")</f>
        <v/>
      </c>
      <c r="D7">
        <f>IF('Types'!$A$7="Origin",'Types'!$C$7,"")</f>
        <v/>
      </c>
      <c r="E7">
        <f>IF('Types'!$A$7="Pack format",'Types'!$C$7,"")</f>
        <v/>
      </c>
      <c r="F7">
        <f>IF('Materials'!$A$7="","",'Materials'!$A$7)</f>
        <v/>
      </c>
      <c r="G7">
        <f>IF('Production lines'!$A$7="","",'Production lines'!$A$7)</f>
        <v/>
      </c>
      <c r="H7">
        <f>IF('Runs'!$A$7="","",'Runs'!$A$7)</f>
        <v/>
      </c>
      <c r="I7">
        <f>IF('What you measure'!$F$7="a setting","",'What you measure'!$A$7)</f>
        <v/>
      </c>
      <c r="J7">
        <f>IF('What you measure'!$F$7="a setting",'What you measure'!$A$7,"")</f>
        <v/>
      </c>
    </row>
    <row r="8">
      <c r="A8">
        <f>IF('Sites'!$A$8="","",'Sites'!$A$8)</f>
        <v/>
      </c>
      <c r="B8">
        <f>IF('Types'!$A$8="Allergen",'Types'!$C$8,"")</f>
        <v/>
      </c>
      <c r="C8">
        <f>IF('Types'!$A$8="Storage",'Types'!$C$8,"")</f>
        <v/>
      </c>
      <c r="D8">
        <f>IF('Types'!$A$8="Origin",'Types'!$C$8,"")</f>
        <v/>
      </c>
      <c r="E8">
        <f>IF('Types'!$A$8="Pack format",'Types'!$C$8,"")</f>
        <v/>
      </c>
      <c r="F8">
        <f>IF('Materials'!$A$8="","",'Materials'!$A$8)</f>
        <v/>
      </c>
      <c r="G8">
        <f>IF('Production lines'!$A$8="","",'Production lines'!$A$8)</f>
        <v/>
      </c>
      <c r="H8">
        <f>IF('Runs'!$A$8="","",'Runs'!$A$8)</f>
        <v/>
      </c>
      <c r="I8">
        <f>IF('What you measure'!$F$8="a setting","",'What you measure'!$A$8)</f>
        <v/>
      </c>
      <c r="J8">
        <f>IF('What you measure'!$F$8="a setting",'What you measure'!$A$8,"")</f>
        <v/>
      </c>
    </row>
    <row r="9">
      <c r="A9">
        <f>IF('Sites'!$A$9="","",'Sites'!$A$9)</f>
        <v/>
      </c>
      <c r="B9">
        <f>IF('Types'!$A$9="Allergen",'Types'!$C$9,"")</f>
        <v/>
      </c>
      <c r="C9">
        <f>IF('Types'!$A$9="Storage",'Types'!$C$9,"")</f>
        <v/>
      </c>
      <c r="D9">
        <f>IF('Types'!$A$9="Origin",'Types'!$C$9,"")</f>
        <v/>
      </c>
      <c r="E9">
        <f>IF('Types'!$A$9="Pack format",'Types'!$C$9,"")</f>
        <v/>
      </c>
      <c r="F9">
        <f>IF('Materials'!$A$9="","",'Materials'!$A$9)</f>
        <v/>
      </c>
      <c r="G9">
        <f>IF('Production lines'!$A$9="","",'Production lines'!$A$9)</f>
        <v/>
      </c>
      <c r="H9">
        <f>IF('Runs'!$A$9="","",'Runs'!$A$9)</f>
        <v/>
      </c>
      <c r="I9">
        <f>IF('What you measure'!$F$9="a setting","",'What you measure'!$A$9)</f>
        <v/>
      </c>
      <c r="J9">
        <f>IF('What you measure'!$F$9="a setting",'What you measure'!$A$9,"")</f>
        <v/>
      </c>
    </row>
    <row r="10">
      <c r="A10">
        <f>IF('Sites'!$A$10="","",'Sites'!$A$10)</f>
        <v/>
      </c>
      <c r="B10">
        <f>IF('Types'!$A$10="Allergen",'Types'!$C$10,"")</f>
        <v/>
      </c>
      <c r="C10">
        <f>IF('Types'!$A$10="Storage",'Types'!$C$10,"")</f>
        <v/>
      </c>
      <c r="D10">
        <f>IF('Types'!$A$10="Origin",'Types'!$C$10,"")</f>
        <v/>
      </c>
      <c r="E10">
        <f>IF('Types'!$A$10="Pack format",'Types'!$C$10,"")</f>
        <v/>
      </c>
      <c r="F10">
        <f>IF('Materials'!$A$10="","",'Materials'!$A$10)</f>
        <v/>
      </c>
      <c r="G10">
        <f>IF('Production lines'!$A$10="","",'Production lines'!$A$10)</f>
        <v/>
      </c>
      <c r="H10">
        <f>IF('Runs'!$A$10="","",'Runs'!$A$10)</f>
        <v/>
      </c>
      <c r="I10">
        <f>IF('What you measure'!$F$10="a setting","",'What you measure'!$A$10)</f>
        <v/>
      </c>
      <c r="J10">
        <f>IF('What you measure'!$F$10="a setting",'What you measure'!$A$10,"")</f>
        <v/>
      </c>
    </row>
    <row r="11">
      <c r="A11">
        <f>IF('Sites'!$A$11="","",'Sites'!$A$11)</f>
        <v/>
      </c>
      <c r="B11">
        <f>IF('Types'!$A$11="Allergen",'Types'!$C$11,"")</f>
        <v/>
      </c>
      <c r="C11">
        <f>IF('Types'!$A$11="Storage",'Types'!$C$11,"")</f>
        <v/>
      </c>
      <c r="D11">
        <f>IF('Types'!$A$11="Origin",'Types'!$C$11,"")</f>
        <v/>
      </c>
      <c r="E11">
        <f>IF('Types'!$A$11="Pack format",'Types'!$C$11,"")</f>
        <v/>
      </c>
      <c r="F11">
        <f>IF('Materials'!$A$11="","",'Materials'!$A$11)</f>
        <v/>
      </c>
      <c r="G11">
        <f>IF('Production lines'!$A$11="","",'Production lines'!$A$11)</f>
        <v/>
      </c>
      <c r="H11">
        <f>IF('Runs'!$A$11="","",'Runs'!$A$11)</f>
        <v/>
      </c>
      <c r="I11">
        <f>IF('What you measure'!$F$11="a setting","",'What you measure'!$A$11)</f>
        <v/>
      </c>
      <c r="J11">
        <f>IF('What you measure'!$F$11="a setting",'What you measure'!$A$11,"")</f>
        <v/>
      </c>
    </row>
    <row r="12">
      <c r="A12">
        <f>IF('Sites'!$A$12="","",'Sites'!$A$12)</f>
        <v/>
      </c>
      <c r="B12">
        <f>IF('Types'!$A$12="Allergen",'Types'!$C$12,"")</f>
        <v/>
      </c>
      <c r="C12">
        <f>IF('Types'!$A$12="Storage",'Types'!$C$12,"")</f>
        <v/>
      </c>
      <c r="D12">
        <f>IF('Types'!$A$12="Origin",'Types'!$C$12,"")</f>
        <v/>
      </c>
      <c r="E12">
        <f>IF('Types'!$A$12="Pack format",'Types'!$C$12,"")</f>
        <v/>
      </c>
      <c r="F12">
        <f>IF('Materials'!$A$12="","",'Materials'!$A$12)</f>
        <v/>
      </c>
      <c r="G12">
        <f>IF('Production lines'!$A$12="","",'Production lines'!$A$12)</f>
        <v/>
      </c>
      <c r="H12">
        <f>IF('Runs'!$A$12="","",'Runs'!$A$12)</f>
        <v/>
      </c>
      <c r="I12">
        <f>IF('What you measure'!$F$12="a setting","",'What you measure'!$A$12)</f>
        <v/>
      </c>
      <c r="J12">
        <f>IF('What you measure'!$F$12="a setting",'What you measure'!$A$12,"")</f>
        <v/>
      </c>
    </row>
    <row r="13">
      <c r="A13">
        <f>IF('Sites'!$A$13="","",'Sites'!$A$13)</f>
        <v/>
      </c>
      <c r="B13">
        <f>IF('Types'!$A$13="Allergen",'Types'!$C$13,"")</f>
        <v/>
      </c>
      <c r="C13">
        <f>IF('Types'!$A$13="Storage",'Types'!$C$13,"")</f>
        <v/>
      </c>
      <c r="D13">
        <f>IF('Types'!$A$13="Origin",'Types'!$C$13,"")</f>
        <v/>
      </c>
      <c r="E13">
        <f>IF('Types'!$A$13="Pack format",'Types'!$C$13,"")</f>
        <v/>
      </c>
      <c r="F13">
        <f>IF('Materials'!$A$13="","",'Materials'!$A$13)</f>
        <v/>
      </c>
      <c r="G13">
        <f>IF('Production lines'!$A$13="","",'Production lines'!$A$13)</f>
        <v/>
      </c>
      <c r="H13">
        <f>IF('Runs'!$A$13="","",'Runs'!$A$13)</f>
        <v/>
      </c>
      <c r="I13">
        <f>IF('What you measure'!$F$13="a setting","",'What you measure'!$A$13)</f>
        <v/>
      </c>
      <c r="J13">
        <f>IF('What you measure'!$F$13="a setting",'What you measure'!$A$13,"")</f>
        <v/>
      </c>
    </row>
    <row r="14">
      <c r="A14">
        <f>IF('Sites'!$A$14="","",'Sites'!$A$14)</f>
        <v/>
      </c>
      <c r="B14">
        <f>IF('Types'!$A$14="Allergen",'Types'!$C$14,"")</f>
        <v/>
      </c>
      <c r="C14">
        <f>IF('Types'!$A$14="Storage",'Types'!$C$14,"")</f>
        <v/>
      </c>
      <c r="D14">
        <f>IF('Types'!$A$14="Origin",'Types'!$C$14,"")</f>
        <v/>
      </c>
      <c r="E14">
        <f>IF('Types'!$A$14="Pack format",'Types'!$C$14,"")</f>
        <v/>
      </c>
      <c r="F14">
        <f>IF('Materials'!$A$14="","",'Materials'!$A$14)</f>
        <v/>
      </c>
      <c r="G14">
        <f>IF('Production lines'!$A$14="","",'Production lines'!$A$14)</f>
        <v/>
      </c>
      <c r="H14">
        <f>IF('Runs'!$A$14="","",'Runs'!$A$14)</f>
        <v/>
      </c>
      <c r="I14">
        <f>IF('What you measure'!$F$14="a setting","",'What you measure'!$A$14)</f>
        <v/>
      </c>
      <c r="J14">
        <f>IF('What you measure'!$F$14="a setting",'What you measure'!$A$14,"")</f>
        <v/>
      </c>
    </row>
    <row r="15">
      <c r="A15">
        <f>IF('Sites'!$A$15="","",'Sites'!$A$15)</f>
        <v/>
      </c>
      <c r="B15">
        <f>IF('Types'!$A$15="Allergen",'Types'!$C$15,"")</f>
        <v/>
      </c>
      <c r="C15">
        <f>IF('Types'!$A$15="Storage",'Types'!$C$15,"")</f>
        <v/>
      </c>
      <c r="D15">
        <f>IF('Types'!$A$15="Origin",'Types'!$C$15,"")</f>
        <v/>
      </c>
      <c r="E15">
        <f>IF('Types'!$A$15="Pack format",'Types'!$C$15,"")</f>
        <v/>
      </c>
      <c r="F15">
        <f>IF('Materials'!$A$15="","",'Materials'!$A$15)</f>
        <v/>
      </c>
      <c r="G15">
        <f>IF('Production lines'!$A$15="","",'Production lines'!$A$15)</f>
        <v/>
      </c>
      <c r="H15">
        <f>IF('Runs'!$A$15="","",'Runs'!$A$15)</f>
        <v/>
      </c>
      <c r="I15">
        <f>IF('What you measure'!$F$15="a setting","",'What you measure'!$A$15)</f>
        <v/>
      </c>
      <c r="J15">
        <f>IF('What you measure'!$F$15="a setting",'What you measure'!$A$15,"")</f>
        <v/>
      </c>
    </row>
    <row r="16">
      <c r="A16">
        <f>IF('Sites'!$A$16="","",'Sites'!$A$16)</f>
        <v/>
      </c>
      <c r="B16">
        <f>IF('Types'!$A$16="Allergen",'Types'!$C$16,"")</f>
        <v/>
      </c>
      <c r="C16">
        <f>IF('Types'!$A$16="Storage",'Types'!$C$16,"")</f>
        <v/>
      </c>
      <c r="D16">
        <f>IF('Types'!$A$16="Origin",'Types'!$C$16,"")</f>
        <v/>
      </c>
      <c r="E16">
        <f>IF('Types'!$A$16="Pack format",'Types'!$C$16,"")</f>
        <v/>
      </c>
      <c r="F16">
        <f>IF('Materials'!$A$16="","",'Materials'!$A$16)</f>
        <v/>
      </c>
      <c r="G16">
        <f>IF('Production lines'!$A$16="","",'Production lines'!$A$16)</f>
        <v/>
      </c>
      <c r="H16">
        <f>IF('Runs'!$A$16="","",'Runs'!$A$16)</f>
        <v/>
      </c>
      <c r="I16">
        <f>IF('What you measure'!$F$16="a setting","",'What you measure'!$A$16)</f>
        <v/>
      </c>
      <c r="J16">
        <f>IF('What you measure'!$F$16="a setting",'What you measure'!$A$16,"")</f>
        <v/>
      </c>
    </row>
    <row r="17">
      <c r="A17">
        <f>IF('Sites'!$A$17="","",'Sites'!$A$17)</f>
        <v/>
      </c>
      <c r="B17">
        <f>IF('Types'!$A$17="Allergen",'Types'!$C$17,"")</f>
        <v/>
      </c>
      <c r="C17">
        <f>IF('Types'!$A$17="Storage",'Types'!$C$17,"")</f>
        <v/>
      </c>
      <c r="D17">
        <f>IF('Types'!$A$17="Origin",'Types'!$C$17,"")</f>
        <v/>
      </c>
      <c r="E17">
        <f>IF('Types'!$A$17="Pack format",'Types'!$C$17,"")</f>
        <v/>
      </c>
      <c r="F17">
        <f>IF('Materials'!$A$17="","",'Materials'!$A$17)</f>
        <v/>
      </c>
      <c r="G17">
        <f>IF('Production lines'!$A$17="","",'Production lines'!$A$17)</f>
        <v/>
      </c>
      <c r="H17">
        <f>IF('Runs'!$A$17="","",'Runs'!$A$17)</f>
        <v/>
      </c>
      <c r="I17">
        <f>IF('What you measure'!$F$17="a setting","",'What you measure'!$A$17)</f>
        <v/>
      </c>
      <c r="J17">
        <f>IF('What you measure'!$F$17="a setting",'What you measure'!$A$17,"")</f>
        <v/>
      </c>
    </row>
    <row r="18">
      <c r="A18">
        <f>IF('Sites'!$A$18="","",'Sites'!$A$18)</f>
        <v/>
      </c>
      <c r="B18">
        <f>IF('Types'!$A$18="Allergen",'Types'!$C$18,"")</f>
        <v/>
      </c>
      <c r="C18">
        <f>IF('Types'!$A$18="Storage",'Types'!$C$18,"")</f>
        <v/>
      </c>
      <c r="D18">
        <f>IF('Types'!$A$18="Origin",'Types'!$C$18,"")</f>
        <v/>
      </c>
      <c r="E18">
        <f>IF('Types'!$A$18="Pack format",'Types'!$C$18,"")</f>
        <v/>
      </c>
      <c r="F18">
        <f>IF('Materials'!$A$18="","",'Materials'!$A$18)</f>
        <v/>
      </c>
      <c r="G18">
        <f>IF('Production lines'!$A$18="","",'Production lines'!$A$18)</f>
        <v/>
      </c>
      <c r="H18">
        <f>IF('Runs'!$A$18="","",'Runs'!$A$18)</f>
        <v/>
      </c>
      <c r="I18">
        <f>IF('What you measure'!$F$18="a setting","",'What you measure'!$A$18)</f>
        <v/>
      </c>
      <c r="J18">
        <f>IF('What you measure'!$F$18="a setting",'What you measure'!$A$18,"")</f>
        <v/>
      </c>
    </row>
    <row r="19">
      <c r="A19">
        <f>IF('Sites'!$A$19="","",'Sites'!$A$19)</f>
        <v/>
      </c>
      <c r="B19">
        <f>IF('Types'!$A$19="Allergen",'Types'!$C$19,"")</f>
        <v/>
      </c>
      <c r="C19">
        <f>IF('Types'!$A$19="Storage",'Types'!$C$19,"")</f>
        <v/>
      </c>
      <c r="D19">
        <f>IF('Types'!$A$19="Origin",'Types'!$C$19,"")</f>
        <v/>
      </c>
      <c r="E19">
        <f>IF('Types'!$A$19="Pack format",'Types'!$C$19,"")</f>
        <v/>
      </c>
      <c r="F19">
        <f>IF('Materials'!$A$19="","",'Materials'!$A$19)</f>
        <v/>
      </c>
      <c r="G19">
        <f>IF('Production lines'!$A$19="","",'Production lines'!$A$19)</f>
        <v/>
      </c>
      <c r="H19">
        <f>IF('Runs'!$A$19="","",'Runs'!$A$19)</f>
        <v/>
      </c>
      <c r="I19">
        <f>IF('What you measure'!$F$19="a setting","",'What you measure'!$A$19)</f>
        <v/>
      </c>
      <c r="J19">
        <f>IF('What you measure'!$F$19="a setting",'What you measure'!$A$19,"")</f>
        <v/>
      </c>
    </row>
    <row r="20">
      <c r="A20">
        <f>IF('Sites'!$A$20="","",'Sites'!$A$20)</f>
        <v/>
      </c>
      <c r="B20">
        <f>IF('Types'!$A$20="Allergen",'Types'!$C$20,"")</f>
        <v/>
      </c>
      <c r="C20">
        <f>IF('Types'!$A$20="Storage",'Types'!$C$20,"")</f>
        <v/>
      </c>
      <c r="D20">
        <f>IF('Types'!$A$20="Origin",'Types'!$C$20,"")</f>
        <v/>
      </c>
      <c r="E20">
        <f>IF('Types'!$A$20="Pack format",'Types'!$C$20,"")</f>
        <v/>
      </c>
      <c r="F20">
        <f>IF('Materials'!$A$20="","",'Materials'!$A$20)</f>
        <v/>
      </c>
      <c r="G20">
        <f>IF('Production lines'!$A$20="","",'Production lines'!$A$20)</f>
        <v/>
      </c>
      <c r="H20">
        <f>IF('Runs'!$A$20="","",'Runs'!$A$20)</f>
        <v/>
      </c>
      <c r="I20">
        <f>IF('What you measure'!$F$20="a setting","",'What you measure'!$A$20)</f>
        <v/>
      </c>
      <c r="J20">
        <f>IF('What you measure'!$F$20="a setting",'What you measure'!$A$20,"")</f>
        <v/>
      </c>
    </row>
    <row r="21">
      <c r="A21">
        <f>IF('Sites'!$A$21="","",'Sites'!$A$21)</f>
        <v/>
      </c>
      <c r="B21">
        <f>IF('Types'!$A$21="Allergen",'Types'!$C$21,"")</f>
        <v/>
      </c>
      <c r="C21">
        <f>IF('Types'!$A$21="Storage",'Types'!$C$21,"")</f>
        <v/>
      </c>
      <c r="D21">
        <f>IF('Types'!$A$21="Origin",'Types'!$C$21,"")</f>
        <v/>
      </c>
      <c r="E21">
        <f>IF('Types'!$A$21="Pack format",'Types'!$C$21,"")</f>
        <v/>
      </c>
      <c r="F21">
        <f>IF('Materials'!$A$21="","",'Materials'!$A$21)</f>
        <v/>
      </c>
      <c r="G21">
        <f>IF('Production lines'!$A$21="","",'Production lines'!$A$21)</f>
        <v/>
      </c>
      <c r="H21">
        <f>IF('Runs'!$A$21="","",'Runs'!$A$21)</f>
        <v/>
      </c>
      <c r="I21">
        <f>IF('What you measure'!$F$21="a setting","",'What you measure'!$A$21)</f>
        <v/>
      </c>
      <c r="J21">
        <f>IF('What you measure'!$F$21="a setting",'What you measure'!$A$21,"")</f>
        <v/>
      </c>
    </row>
    <row r="22">
      <c r="A22">
        <f>IF('Sites'!$A$22="","",'Sites'!$A$22)</f>
        <v/>
      </c>
      <c r="B22">
        <f>IF('Types'!$A$22="Allergen",'Types'!$C$22,"")</f>
        <v/>
      </c>
      <c r="C22">
        <f>IF('Types'!$A$22="Storage",'Types'!$C$22,"")</f>
        <v/>
      </c>
      <c r="D22">
        <f>IF('Types'!$A$22="Origin",'Types'!$C$22,"")</f>
        <v/>
      </c>
      <c r="E22">
        <f>IF('Types'!$A$22="Pack format",'Types'!$C$22,"")</f>
        <v/>
      </c>
      <c r="F22">
        <f>IF('Materials'!$A$22="","",'Materials'!$A$22)</f>
        <v/>
      </c>
      <c r="G22">
        <f>IF('Production lines'!$A$22="","",'Production lines'!$A$22)</f>
        <v/>
      </c>
      <c r="H22">
        <f>IF('Runs'!$A$22="","",'Runs'!$A$22)</f>
        <v/>
      </c>
      <c r="I22">
        <f>IF('What you measure'!$F$22="a setting","",'What you measure'!$A$22)</f>
        <v/>
      </c>
      <c r="J22">
        <f>IF('What you measure'!$F$22="a setting",'What you measure'!$A$22,"")</f>
        <v/>
      </c>
    </row>
    <row r="23">
      <c r="A23">
        <f>IF('Sites'!$A$23="","",'Sites'!$A$23)</f>
        <v/>
      </c>
      <c r="B23">
        <f>IF('Types'!$A$23="Allergen",'Types'!$C$23,"")</f>
        <v/>
      </c>
      <c r="C23">
        <f>IF('Types'!$A$23="Storage",'Types'!$C$23,"")</f>
        <v/>
      </c>
      <c r="D23">
        <f>IF('Types'!$A$23="Origin",'Types'!$C$23,"")</f>
        <v/>
      </c>
      <c r="E23">
        <f>IF('Types'!$A$23="Pack format",'Types'!$C$23,"")</f>
        <v/>
      </c>
      <c r="F23">
        <f>IF('Materials'!$A$23="","",'Materials'!$A$23)</f>
        <v/>
      </c>
      <c r="G23">
        <f>IF('Production lines'!$A$23="","",'Production lines'!$A$23)</f>
        <v/>
      </c>
      <c r="H23">
        <f>IF('Runs'!$A$23="","",'Runs'!$A$23)</f>
        <v/>
      </c>
      <c r="I23">
        <f>IF('What you measure'!$F$23="a setting","",'What you measure'!$A$23)</f>
        <v/>
      </c>
      <c r="J23">
        <f>IF('What you measure'!$F$23="a setting",'What you measure'!$A$23,"")</f>
        <v/>
      </c>
    </row>
    <row r="24">
      <c r="A24">
        <f>IF('Production lines'!$A$4="","",'Production lines'!$A$4)</f>
        <v/>
      </c>
      <c r="B24">
        <f>IF('Types'!$A$24="Allergen",'Types'!$C$24,"")</f>
        <v/>
      </c>
      <c r="C24">
        <f>IF('Types'!$A$24="Storage",'Types'!$C$24,"")</f>
        <v/>
      </c>
      <c r="D24">
        <f>IF('Types'!$A$24="Origin",'Types'!$C$24,"")</f>
        <v/>
      </c>
      <c r="E24">
        <f>IF('Types'!$A$24="Pack format",'Types'!$C$24,"")</f>
        <v/>
      </c>
      <c r="F24">
        <f>IF('Materials'!$A$24="","",'Materials'!$A$24)</f>
        <v/>
      </c>
      <c r="G24">
        <f>IF('Production lines'!$A$24="","",'Production lines'!$A$24)</f>
        <v/>
      </c>
      <c r="H24">
        <f>IF('Runs'!$A$24="","",'Runs'!$A$24)</f>
        <v/>
      </c>
      <c r="I24">
        <f>IF('What you measure'!$F$24="a setting","",'What you measure'!$A$24)</f>
        <v/>
      </c>
      <c r="J24">
        <f>IF('What you measure'!$F$24="a setting",'What you measure'!$A$24,"")</f>
        <v/>
      </c>
    </row>
    <row r="25">
      <c r="A25">
        <f>IF('Production lines'!$A$5="","",'Production lines'!$A$5)</f>
        <v/>
      </c>
      <c r="B25">
        <f>IF('Types'!$A$25="Allergen",'Types'!$C$25,"")</f>
        <v/>
      </c>
      <c r="C25">
        <f>IF('Types'!$A$25="Storage",'Types'!$C$25,"")</f>
        <v/>
      </c>
      <c r="D25">
        <f>IF('Types'!$A$25="Origin",'Types'!$C$25,"")</f>
        <v/>
      </c>
      <c r="E25">
        <f>IF('Types'!$A$25="Pack format",'Types'!$C$25,"")</f>
        <v/>
      </c>
      <c r="F25">
        <f>IF('Materials'!$A$25="","",'Materials'!$A$25)</f>
        <v/>
      </c>
      <c r="G25">
        <f>IF('Production lines'!$A$25="","",'Production lines'!$A$25)</f>
        <v/>
      </c>
      <c r="H25">
        <f>IF('Runs'!$A$25="","",'Runs'!$A$25)</f>
        <v/>
      </c>
      <c r="I25">
        <f>IF('What you measure'!$F$25="a setting","",'What you measure'!$A$25)</f>
        <v/>
      </c>
      <c r="J25">
        <f>IF('What you measure'!$F$25="a setting",'What you measure'!$A$25,"")</f>
        <v/>
      </c>
    </row>
    <row r="26">
      <c r="A26">
        <f>IF('Production lines'!$A$6="","",'Production lines'!$A$6)</f>
        <v/>
      </c>
      <c r="B26">
        <f>IF('Types'!$A$26="Allergen",'Types'!$C$26,"")</f>
        <v/>
      </c>
      <c r="C26">
        <f>IF('Types'!$A$26="Storage",'Types'!$C$26,"")</f>
        <v/>
      </c>
      <c r="D26">
        <f>IF('Types'!$A$26="Origin",'Types'!$C$26,"")</f>
        <v/>
      </c>
      <c r="E26">
        <f>IF('Types'!$A$26="Pack format",'Types'!$C$26,"")</f>
        <v/>
      </c>
      <c r="F26">
        <f>IF('Materials'!$A$26="","",'Materials'!$A$26)</f>
        <v/>
      </c>
      <c r="G26">
        <f>IF('Production lines'!$A$26="","",'Production lines'!$A$26)</f>
        <v/>
      </c>
      <c r="H26">
        <f>IF('Runs'!$A$26="","",'Runs'!$A$26)</f>
        <v/>
      </c>
      <c r="I26">
        <f>IF('What you measure'!$F$26="a setting","",'What you measure'!$A$26)</f>
        <v/>
      </c>
      <c r="J26">
        <f>IF('What you measure'!$F$26="a setting",'What you measure'!$A$26,"")</f>
        <v/>
      </c>
    </row>
    <row r="27">
      <c r="A27">
        <f>IF('Production lines'!$A$7="","",'Production lines'!$A$7)</f>
        <v/>
      </c>
      <c r="B27">
        <f>IF('Types'!$A$27="Allergen",'Types'!$C$27,"")</f>
        <v/>
      </c>
      <c r="C27">
        <f>IF('Types'!$A$27="Storage",'Types'!$C$27,"")</f>
        <v/>
      </c>
      <c r="D27">
        <f>IF('Types'!$A$27="Origin",'Types'!$C$27,"")</f>
        <v/>
      </c>
      <c r="E27">
        <f>IF('Types'!$A$27="Pack format",'Types'!$C$27,"")</f>
        <v/>
      </c>
      <c r="F27">
        <f>IF('Materials'!$A$27="","",'Materials'!$A$27)</f>
        <v/>
      </c>
      <c r="G27">
        <f>IF('Production lines'!$A$27="","",'Production lines'!$A$27)</f>
        <v/>
      </c>
      <c r="H27">
        <f>IF('Runs'!$A$27="","",'Runs'!$A$27)</f>
        <v/>
      </c>
      <c r="I27">
        <f>IF('What you measure'!$F$27="a setting","",'What you measure'!$A$27)</f>
        <v/>
      </c>
      <c r="J27">
        <f>IF('What you measure'!$F$27="a setting",'What you measure'!$A$27,"")</f>
        <v/>
      </c>
    </row>
    <row r="28">
      <c r="A28">
        <f>IF('Production lines'!$A$8="","",'Production lines'!$A$8)</f>
        <v/>
      </c>
      <c r="B28">
        <f>IF('Types'!$A$28="Allergen",'Types'!$C$28,"")</f>
        <v/>
      </c>
      <c r="C28">
        <f>IF('Types'!$A$28="Storage",'Types'!$C$28,"")</f>
        <v/>
      </c>
      <c r="D28">
        <f>IF('Types'!$A$28="Origin",'Types'!$C$28,"")</f>
        <v/>
      </c>
      <c r="E28">
        <f>IF('Types'!$A$28="Pack format",'Types'!$C$28,"")</f>
        <v/>
      </c>
      <c r="F28">
        <f>IF('Materials'!$A$28="","",'Materials'!$A$28)</f>
        <v/>
      </c>
      <c r="G28">
        <f>IF('Production lines'!$A$28="","",'Production lines'!$A$28)</f>
        <v/>
      </c>
      <c r="H28">
        <f>IF('Runs'!$A$28="","",'Runs'!$A$28)</f>
        <v/>
      </c>
      <c r="I28">
        <f>IF('What you measure'!$F$28="a setting","",'What you measure'!$A$28)</f>
        <v/>
      </c>
      <c r="J28">
        <f>IF('What you measure'!$F$28="a setting",'What you measure'!$A$28,"")</f>
        <v/>
      </c>
    </row>
    <row r="29">
      <c r="A29">
        <f>IF('Production lines'!$A$9="","",'Production lines'!$A$9)</f>
        <v/>
      </c>
      <c r="B29">
        <f>IF('Types'!$A$29="Allergen",'Types'!$C$29,"")</f>
        <v/>
      </c>
      <c r="C29">
        <f>IF('Types'!$A$29="Storage",'Types'!$C$29,"")</f>
        <v/>
      </c>
      <c r="D29">
        <f>IF('Types'!$A$29="Origin",'Types'!$C$29,"")</f>
        <v/>
      </c>
      <c r="E29">
        <f>IF('Types'!$A$29="Pack format",'Types'!$C$29,"")</f>
        <v/>
      </c>
      <c r="F29">
        <f>IF('Materials'!$A$29="","",'Materials'!$A$29)</f>
        <v/>
      </c>
      <c r="G29">
        <f>IF('Production lines'!$A$29="","",'Production lines'!$A$29)</f>
        <v/>
      </c>
      <c r="H29">
        <f>IF('Runs'!$A$29="","",'Runs'!$A$29)</f>
        <v/>
      </c>
      <c r="I29">
        <f>IF('What you measure'!$F$29="a setting","",'What you measure'!$A$29)</f>
        <v/>
      </c>
      <c r="J29">
        <f>IF('What you measure'!$F$29="a setting",'What you measure'!$A$29,"")</f>
        <v/>
      </c>
    </row>
    <row r="30">
      <c r="A30">
        <f>IF('Production lines'!$A$10="","",'Production lines'!$A$10)</f>
        <v/>
      </c>
      <c r="B30">
        <f>IF('Types'!$A$30="Allergen",'Types'!$C$30,"")</f>
        <v/>
      </c>
      <c r="C30">
        <f>IF('Types'!$A$30="Storage",'Types'!$C$30,"")</f>
        <v/>
      </c>
      <c r="D30">
        <f>IF('Types'!$A$30="Origin",'Types'!$C$30,"")</f>
        <v/>
      </c>
      <c r="E30">
        <f>IF('Types'!$A$30="Pack format",'Types'!$C$30,"")</f>
        <v/>
      </c>
      <c r="F30">
        <f>IF('Materials'!$A$30="","",'Materials'!$A$30)</f>
        <v/>
      </c>
      <c r="G30">
        <f>IF('Production lines'!$A$30="","",'Production lines'!$A$30)</f>
        <v/>
      </c>
      <c r="H30">
        <f>IF('Runs'!$A$30="","",'Runs'!$A$30)</f>
        <v/>
      </c>
      <c r="I30">
        <f>IF('What you measure'!$F$30="a setting","",'What you measure'!$A$30)</f>
        <v/>
      </c>
      <c r="J30">
        <f>IF('What you measure'!$F$30="a setting",'What you measure'!$A$30,"")</f>
        <v/>
      </c>
    </row>
    <row r="31">
      <c r="A31">
        <f>IF('Production lines'!$A$11="","",'Production lines'!$A$11)</f>
        <v/>
      </c>
      <c r="B31">
        <f>IF('Types'!$A$31="Allergen",'Types'!$C$31,"")</f>
        <v/>
      </c>
      <c r="C31">
        <f>IF('Types'!$A$31="Storage",'Types'!$C$31,"")</f>
        <v/>
      </c>
      <c r="D31">
        <f>IF('Types'!$A$31="Origin",'Types'!$C$31,"")</f>
        <v/>
      </c>
      <c r="E31">
        <f>IF('Types'!$A$31="Pack format",'Types'!$C$31,"")</f>
        <v/>
      </c>
      <c r="F31">
        <f>IF('Materials'!$A$31="","",'Materials'!$A$31)</f>
        <v/>
      </c>
      <c r="G31">
        <f>IF('Production lines'!$A$31="","",'Production lines'!$A$31)</f>
        <v/>
      </c>
      <c r="H31">
        <f>IF('Runs'!$A$31="","",'Runs'!$A$31)</f>
        <v/>
      </c>
      <c r="I31">
        <f>IF('What you measure'!$F$31="a setting","",'What you measure'!$A$31)</f>
        <v/>
      </c>
      <c r="J31">
        <f>IF('What you measure'!$F$31="a setting",'What you measure'!$A$31,"")</f>
        <v/>
      </c>
    </row>
    <row r="32">
      <c r="A32">
        <f>IF('Production lines'!$A$12="","",'Production lines'!$A$12)</f>
        <v/>
      </c>
      <c r="B32">
        <f>IF('Types'!$A$32="Allergen",'Types'!$C$32,"")</f>
        <v/>
      </c>
      <c r="C32">
        <f>IF('Types'!$A$32="Storage",'Types'!$C$32,"")</f>
        <v/>
      </c>
      <c r="D32">
        <f>IF('Types'!$A$32="Origin",'Types'!$C$32,"")</f>
        <v/>
      </c>
      <c r="E32">
        <f>IF('Types'!$A$32="Pack format",'Types'!$C$32,"")</f>
        <v/>
      </c>
      <c r="F32">
        <f>IF('Materials'!$A$32="","",'Materials'!$A$32)</f>
        <v/>
      </c>
      <c r="G32">
        <f>IF('Production lines'!$A$32="","",'Production lines'!$A$32)</f>
        <v/>
      </c>
      <c r="H32">
        <f>IF('Runs'!$A$32="","",'Runs'!$A$32)</f>
        <v/>
      </c>
      <c r="I32">
        <f>IF('What you measure'!$F$32="a setting","",'What you measure'!$A$32)</f>
        <v/>
      </c>
      <c r="J32">
        <f>IF('What you measure'!$F$32="a setting",'What you measure'!$A$32,"")</f>
        <v/>
      </c>
    </row>
    <row r="33">
      <c r="A33">
        <f>IF('Production lines'!$A$13="","",'Production lines'!$A$13)</f>
        <v/>
      </c>
      <c r="B33">
        <f>IF('Types'!$A$33="Allergen",'Types'!$C$33,"")</f>
        <v/>
      </c>
      <c r="C33">
        <f>IF('Types'!$A$33="Storage",'Types'!$C$33,"")</f>
        <v/>
      </c>
      <c r="D33">
        <f>IF('Types'!$A$33="Origin",'Types'!$C$33,"")</f>
        <v/>
      </c>
      <c r="E33">
        <f>IF('Types'!$A$33="Pack format",'Types'!$C$33,"")</f>
        <v/>
      </c>
      <c r="F33">
        <f>IF('Materials'!$A$33="","",'Materials'!$A$33)</f>
        <v/>
      </c>
      <c r="G33">
        <f>IF('Production lines'!$A$33="","",'Production lines'!$A$33)</f>
        <v/>
      </c>
      <c r="H33">
        <f>IF('Runs'!$A$33="","",'Runs'!$A$33)</f>
        <v/>
      </c>
      <c r="I33">
        <f>IF('What you measure'!$F$33="a setting","",'What you measure'!$A$33)</f>
        <v/>
      </c>
      <c r="J33">
        <f>IF('What you measure'!$F$33="a setting",'What you measure'!$A$33,"")</f>
        <v/>
      </c>
    </row>
    <row r="34">
      <c r="A34">
        <f>IF('Production lines'!$A$14="","",'Production lines'!$A$14)</f>
        <v/>
      </c>
      <c r="B34">
        <f>IF('Types'!$A$34="Allergen",'Types'!$C$34,"")</f>
        <v/>
      </c>
      <c r="C34">
        <f>IF('Types'!$A$34="Storage",'Types'!$C$34,"")</f>
        <v/>
      </c>
      <c r="D34">
        <f>IF('Types'!$A$34="Origin",'Types'!$C$34,"")</f>
        <v/>
      </c>
      <c r="E34">
        <f>IF('Types'!$A$34="Pack format",'Types'!$C$34,"")</f>
        <v/>
      </c>
      <c r="F34">
        <f>IF('Materials'!$A$34="","",'Materials'!$A$34)</f>
        <v/>
      </c>
      <c r="G34">
        <f>IF('Production lines'!$A$34="","",'Production lines'!$A$34)</f>
        <v/>
      </c>
      <c r="H34">
        <f>IF('Runs'!$A$34="","",'Runs'!$A$34)</f>
        <v/>
      </c>
      <c r="I34">
        <f>IF('What you measure'!$F$34="a setting","",'What you measure'!$A$34)</f>
        <v/>
      </c>
      <c r="J34">
        <f>IF('What you measure'!$F$34="a setting",'What you measure'!$A$34,"")</f>
        <v/>
      </c>
    </row>
    <row r="35">
      <c r="A35">
        <f>IF('Production lines'!$A$15="","",'Production lines'!$A$15)</f>
        <v/>
      </c>
      <c r="B35">
        <f>IF('Types'!$A$35="Allergen",'Types'!$C$35,"")</f>
        <v/>
      </c>
      <c r="C35">
        <f>IF('Types'!$A$35="Storage",'Types'!$C$35,"")</f>
        <v/>
      </c>
      <c r="D35">
        <f>IF('Types'!$A$35="Origin",'Types'!$C$35,"")</f>
        <v/>
      </c>
      <c r="E35">
        <f>IF('Types'!$A$35="Pack format",'Types'!$C$35,"")</f>
        <v/>
      </c>
      <c r="F35">
        <f>IF('Materials'!$A$35="","",'Materials'!$A$35)</f>
        <v/>
      </c>
      <c r="G35">
        <f>IF('Production lines'!$A$35="","",'Production lines'!$A$35)</f>
        <v/>
      </c>
      <c r="H35">
        <f>IF('Runs'!$A$35="","",'Runs'!$A$35)</f>
        <v/>
      </c>
      <c r="I35">
        <f>IF('What you measure'!$F$35="a setting","",'What you measure'!$A$35)</f>
        <v/>
      </c>
      <c r="J35">
        <f>IF('What you measure'!$F$35="a setting",'What you measure'!$A$35,"")</f>
        <v/>
      </c>
    </row>
    <row r="36">
      <c r="A36">
        <f>IF('Production lines'!$A$16="","",'Production lines'!$A$16)</f>
        <v/>
      </c>
      <c r="B36">
        <f>IF('Types'!$A$36="Allergen",'Types'!$C$36,"")</f>
        <v/>
      </c>
      <c r="C36">
        <f>IF('Types'!$A$36="Storage",'Types'!$C$36,"")</f>
        <v/>
      </c>
      <c r="D36">
        <f>IF('Types'!$A$36="Origin",'Types'!$C$36,"")</f>
        <v/>
      </c>
      <c r="E36">
        <f>IF('Types'!$A$36="Pack format",'Types'!$C$36,"")</f>
        <v/>
      </c>
      <c r="F36">
        <f>IF('Materials'!$A$36="","",'Materials'!$A$36)</f>
        <v/>
      </c>
      <c r="G36">
        <f>IF('Production lines'!$A$36="","",'Production lines'!$A$36)</f>
        <v/>
      </c>
      <c r="H36">
        <f>IF('Runs'!$A$36="","",'Runs'!$A$36)</f>
        <v/>
      </c>
      <c r="I36">
        <f>IF('What you measure'!$F$36="a setting","",'What you measure'!$A$36)</f>
        <v/>
      </c>
      <c r="J36">
        <f>IF('What you measure'!$F$36="a setting",'What you measure'!$A$36,"")</f>
        <v/>
      </c>
    </row>
    <row r="37">
      <c r="A37">
        <f>IF('Production lines'!$A$17="","",'Production lines'!$A$17)</f>
        <v/>
      </c>
      <c r="B37">
        <f>IF('Types'!$A$37="Allergen",'Types'!$C$37,"")</f>
        <v/>
      </c>
      <c r="C37">
        <f>IF('Types'!$A$37="Storage",'Types'!$C$37,"")</f>
        <v/>
      </c>
      <c r="D37">
        <f>IF('Types'!$A$37="Origin",'Types'!$C$37,"")</f>
        <v/>
      </c>
      <c r="E37">
        <f>IF('Types'!$A$37="Pack format",'Types'!$C$37,"")</f>
        <v/>
      </c>
      <c r="F37">
        <f>IF('Materials'!$A$37="","",'Materials'!$A$37)</f>
        <v/>
      </c>
      <c r="G37">
        <f>IF('Production lines'!$A$37="","",'Production lines'!$A$37)</f>
        <v/>
      </c>
      <c r="H37">
        <f>IF('Runs'!$A$37="","",'Runs'!$A$37)</f>
        <v/>
      </c>
      <c r="I37">
        <f>IF('What you measure'!$F$37="a setting","",'What you measure'!$A$37)</f>
        <v/>
      </c>
      <c r="J37">
        <f>IF('What you measure'!$F$37="a setting",'What you measure'!$A$37,"")</f>
        <v/>
      </c>
    </row>
    <row r="38">
      <c r="A38">
        <f>IF('Production lines'!$A$18="","",'Production lines'!$A$18)</f>
        <v/>
      </c>
      <c r="B38">
        <f>IF('Types'!$A$38="Allergen",'Types'!$C$38,"")</f>
        <v/>
      </c>
      <c r="C38">
        <f>IF('Types'!$A$38="Storage",'Types'!$C$38,"")</f>
        <v/>
      </c>
      <c r="D38">
        <f>IF('Types'!$A$38="Origin",'Types'!$C$38,"")</f>
        <v/>
      </c>
      <c r="E38">
        <f>IF('Types'!$A$38="Pack format",'Types'!$C$38,"")</f>
        <v/>
      </c>
      <c r="F38">
        <f>IF('Materials'!$A$38="","",'Materials'!$A$38)</f>
        <v/>
      </c>
      <c r="G38">
        <f>IF('Production lines'!$A$38="","",'Production lines'!$A$38)</f>
        <v/>
      </c>
      <c r="H38">
        <f>IF('Runs'!$A$38="","",'Runs'!$A$38)</f>
        <v/>
      </c>
      <c r="I38">
        <f>IF('What you measure'!$F$38="a setting","",'What you measure'!$A$38)</f>
        <v/>
      </c>
      <c r="J38">
        <f>IF('What you measure'!$F$38="a setting",'What you measure'!$A$38,"")</f>
        <v/>
      </c>
    </row>
    <row r="39">
      <c r="A39">
        <f>IF('Production lines'!$A$19="","",'Production lines'!$A$19)</f>
        <v/>
      </c>
      <c r="B39">
        <f>IF('Types'!$A$39="Allergen",'Types'!$C$39,"")</f>
        <v/>
      </c>
      <c r="C39">
        <f>IF('Types'!$A$39="Storage",'Types'!$C$39,"")</f>
        <v/>
      </c>
      <c r="D39">
        <f>IF('Types'!$A$39="Origin",'Types'!$C$39,"")</f>
        <v/>
      </c>
      <c r="E39">
        <f>IF('Types'!$A$39="Pack format",'Types'!$C$39,"")</f>
        <v/>
      </c>
      <c r="F39">
        <f>IF('Materials'!$A$39="","",'Materials'!$A$39)</f>
        <v/>
      </c>
      <c r="G39">
        <f>IF('Production lines'!$A$39="","",'Production lines'!$A$39)</f>
        <v/>
      </c>
      <c r="H39">
        <f>IF('Runs'!$A$39="","",'Runs'!$A$39)</f>
        <v/>
      </c>
      <c r="I39">
        <f>IF('What you measure'!$F$39="a setting","",'What you measure'!$A$39)</f>
        <v/>
      </c>
      <c r="J39">
        <f>IF('What you measure'!$F$39="a setting",'What you measure'!$A$39,"")</f>
        <v/>
      </c>
    </row>
    <row r="40">
      <c r="A40">
        <f>IF('Production lines'!$A$20="","",'Production lines'!$A$20)</f>
        <v/>
      </c>
      <c r="B40">
        <f>IF('Types'!$A$40="Allergen",'Types'!$C$40,"")</f>
        <v/>
      </c>
      <c r="C40">
        <f>IF('Types'!$A$40="Storage",'Types'!$C$40,"")</f>
        <v/>
      </c>
      <c r="D40">
        <f>IF('Types'!$A$40="Origin",'Types'!$C$40,"")</f>
        <v/>
      </c>
      <c r="E40">
        <f>IF('Types'!$A$40="Pack format",'Types'!$C$40,"")</f>
        <v/>
      </c>
      <c r="F40">
        <f>IF('Materials'!$A$40="","",'Materials'!$A$40)</f>
        <v/>
      </c>
      <c r="G40">
        <f>IF('Production lines'!$A$40="","",'Production lines'!$A$40)</f>
        <v/>
      </c>
      <c r="H40">
        <f>IF('Runs'!$A$40="","",'Runs'!$A$40)</f>
        <v/>
      </c>
      <c r="I40">
        <f>IF('What you measure'!$F$40="a setting","",'What you measure'!$A$40)</f>
        <v/>
      </c>
      <c r="J40">
        <f>IF('What you measure'!$F$40="a setting",'What you measure'!$A$40,"")</f>
        <v/>
      </c>
    </row>
    <row r="41">
      <c r="A41">
        <f>IF('Production lines'!$A$21="","",'Production lines'!$A$21)</f>
        <v/>
      </c>
      <c r="B41">
        <f>IF('Types'!$A$41="Allergen",'Types'!$C$41,"")</f>
        <v/>
      </c>
      <c r="C41">
        <f>IF('Types'!$A$41="Storage",'Types'!$C$41,"")</f>
        <v/>
      </c>
      <c r="D41">
        <f>IF('Types'!$A$41="Origin",'Types'!$C$41,"")</f>
        <v/>
      </c>
      <c r="E41">
        <f>IF('Types'!$A$41="Pack format",'Types'!$C$41,"")</f>
        <v/>
      </c>
      <c r="F41">
        <f>IF('Materials'!$A$41="","",'Materials'!$A$41)</f>
        <v/>
      </c>
      <c r="G41">
        <f>IF('Production lines'!$A$41="","",'Production lines'!$A$41)</f>
        <v/>
      </c>
      <c r="H41">
        <f>IF('Runs'!$A$41="","",'Runs'!$A$41)</f>
        <v/>
      </c>
      <c r="I41">
        <f>IF('What you measure'!$F$41="a setting","",'What you measure'!$A$41)</f>
        <v/>
      </c>
      <c r="J41">
        <f>IF('What you measure'!$F$41="a setting",'What you measure'!$A$41,"")</f>
        <v/>
      </c>
    </row>
    <row r="42">
      <c r="A42">
        <f>IF('Production lines'!$A$22="","",'Production lines'!$A$22)</f>
        <v/>
      </c>
      <c r="B42">
        <f>IF('Types'!$A$42="Allergen",'Types'!$C$42,"")</f>
        <v/>
      </c>
      <c r="C42">
        <f>IF('Types'!$A$42="Storage",'Types'!$C$42,"")</f>
        <v/>
      </c>
      <c r="D42">
        <f>IF('Types'!$A$42="Origin",'Types'!$C$42,"")</f>
        <v/>
      </c>
      <c r="E42">
        <f>IF('Types'!$A$42="Pack format",'Types'!$C$42,"")</f>
        <v/>
      </c>
      <c r="F42">
        <f>IF('Materials'!$A$42="","",'Materials'!$A$42)</f>
        <v/>
      </c>
      <c r="G42">
        <f>IF('Production lines'!$A$42="","",'Production lines'!$A$42)</f>
        <v/>
      </c>
      <c r="H42">
        <f>IF('Runs'!$A$42="","",'Runs'!$A$42)</f>
        <v/>
      </c>
      <c r="I42">
        <f>IF('What you measure'!$F$42="a setting","",'What you measure'!$A$42)</f>
        <v/>
      </c>
      <c r="J42">
        <f>IF('What you measure'!$F$42="a setting",'What you measure'!$A$42,"")</f>
        <v/>
      </c>
    </row>
    <row r="43">
      <c r="A43">
        <f>IF('Production lines'!$A$23="","",'Production lines'!$A$23)</f>
        <v/>
      </c>
      <c r="B43">
        <f>IF('Types'!$A$43="Allergen",'Types'!$C$43,"")</f>
        <v/>
      </c>
      <c r="C43">
        <f>IF('Types'!$A$43="Storage",'Types'!$C$43,"")</f>
        <v/>
      </c>
      <c r="D43">
        <f>IF('Types'!$A$43="Origin",'Types'!$C$43,"")</f>
        <v/>
      </c>
      <c r="E43">
        <f>IF('Types'!$A$43="Pack format",'Types'!$C$43,"")</f>
        <v/>
      </c>
      <c r="F43">
        <f>IF('Materials'!$A$43="","",'Materials'!$A$43)</f>
        <v/>
      </c>
      <c r="G43">
        <f>IF('Production lines'!$A$43="","",'Production lines'!$A$43)</f>
        <v/>
      </c>
      <c r="H43">
        <f>IF('Runs'!$A$43="","",'Runs'!$A$43)</f>
        <v/>
      </c>
      <c r="I43">
        <f>IF('What you measure'!$F$43="a setting","",'What you measure'!$A$43)</f>
        <v/>
      </c>
      <c r="J43">
        <f>IF('What you measure'!$F$43="a setting",'What you measure'!$A$43,"")</f>
        <v/>
      </c>
    </row>
    <row r="44">
      <c r="A44">
        <f>IF('Production lines'!$A$24="","",'Production lines'!$A$24)</f>
        <v/>
      </c>
      <c r="B44">
        <f>IF('Types'!$A$44="Allergen",'Types'!$C$44,"")</f>
        <v/>
      </c>
      <c r="C44">
        <f>IF('Types'!$A$44="Storage",'Types'!$C$44,"")</f>
        <v/>
      </c>
      <c r="D44">
        <f>IF('Types'!$A$44="Origin",'Types'!$C$44,"")</f>
        <v/>
      </c>
      <c r="E44">
        <f>IF('Types'!$A$44="Pack format",'Types'!$C$44,"")</f>
        <v/>
      </c>
      <c r="F44">
        <f>IF('Materials'!$A$44="","",'Materials'!$A$44)</f>
        <v/>
      </c>
      <c r="G44">
        <f>IF('Machines and sensors'!$A$4="","",'Machines and sensors'!$A$4)</f>
        <v/>
      </c>
      <c r="H44">
        <f>IF('Runs'!$A$44="","",'Runs'!$A$44)</f>
        <v/>
      </c>
      <c r="I44">
        <f>IF('What you measure'!$F$44="a setting","",'What you measure'!$A$44)</f>
        <v/>
      </c>
      <c r="J44">
        <f>IF('What you measure'!$F$44="a setting",'What you measure'!$A$44,"")</f>
        <v/>
      </c>
    </row>
    <row r="45">
      <c r="A45">
        <f>IF('Production lines'!$A$25="","",'Production lines'!$A$25)</f>
        <v/>
      </c>
      <c r="B45">
        <f>IF('Types'!$A$45="Allergen",'Types'!$C$45,"")</f>
        <v/>
      </c>
      <c r="C45">
        <f>IF('Types'!$A$45="Storage",'Types'!$C$45,"")</f>
        <v/>
      </c>
      <c r="D45">
        <f>IF('Types'!$A$45="Origin",'Types'!$C$45,"")</f>
        <v/>
      </c>
      <c r="E45">
        <f>IF('Types'!$A$45="Pack format",'Types'!$C$45,"")</f>
        <v/>
      </c>
      <c r="F45">
        <f>IF('Materials'!$A$45="","",'Materials'!$A$45)</f>
        <v/>
      </c>
      <c r="G45">
        <f>IF('Machines and sensors'!$A$5="","",'Machines and sensors'!$A$5)</f>
        <v/>
      </c>
      <c r="H45">
        <f>IF('Runs'!$A$45="","",'Runs'!$A$45)</f>
        <v/>
      </c>
      <c r="I45">
        <f>IF('What you measure'!$F$45="a setting","",'What you measure'!$A$45)</f>
        <v/>
      </c>
      <c r="J45">
        <f>IF('What you measure'!$F$45="a setting",'What you measure'!$A$45,"")</f>
        <v/>
      </c>
    </row>
    <row r="46">
      <c r="A46">
        <f>IF('Production lines'!$A$26="","",'Production lines'!$A$26)</f>
        <v/>
      </c>
      <c r="B46">
        <f>IF('Types'!$A$46="Allergen",'Types'!$C$46,"")</f>
        <v/>
      </c>
      <c r="C46">
        <f>IF('Types'!$A$46="Storage",'Types'!$C$46,"")</f>
        <v/>
      </c>
      <c r="D46">
        <f>IF('Types'!$A$46="Origin",'Types'!$C$46,"")</f>
        <v/>
      </c>
      <c r="E46">
        <f>IF('Types'!$A$46="Pack format",'Types'!$C$46,"")</f>
        <v/>
      </c>
      <c r="F46">
        <f>IF('Materials'!$A$46="","",'Materials'!$A$46)</f>
        <v/>
      </c>
      <c r="G46">
        <f>IF('Machines and sensors'!$A$6="","",'Machines and sensors'!$A$6)</f>
        <v/>
      </c>
      <c r="H46">
        <f>IF('Runs'!$A$46="","",'Runs'!$A$46)</f>
        <v/>
      </c>
      <c r="I46">
        <f>IF('What you measure'!$F$46="a setting","",'What you measure'!$A$46)</f>
        <v/>
      </c>
      <c r="J46">
        <f>IF('What you measure'!$F$46="a setting",'What you measure'!$A$46,"")</f>
        <v/>
      </c>
    </row>
    <row r="47">
      <c r="A47">
        <f>IF('Production lines'!$A$27="","",'Production lines'!$A$27)</f>
        <v/>
      </c>
      <c r="B47">
        <f>IF('Types'!$A$47="Allergen",'Types'!$C$47,"")</f>
        <v/>
      </c>
      <c r="C47">
        <f>IF('Types'!$A$47="Storage",'Types'!$C$47,"")</f>
        <v/>
      </c>
      <c r="D47">
        <f>IF('Types'!$A$47="Origin",'Types'!$C$47,"")</f>
        <v/>
      </c>
      <c r="E47">
        <f>IF('Types'!$A$47="Pack format",'Types'!$C$47,"")</f>
        <v/>
      </c>
      <c r="F47">
        <f>IF('Materials'!$A$47="","",'Materials'!$A$47)</f>
        <v/>
      </c>
      <c r="G47">
        <f>IF('Machines and sensors'!$A$7="","",'Machines and sensors'!$A$7)</f>
        <v/>
      </c>
      <c r="H47">
        <f>IF('Runs'!$A$47="","",'Runs'!$A$47)</f>
        <v/>
      </c>
      <c r="I47">
        <f>IF('What you measure'!$F$47="a setting","",'What you measure'!$A$47)</f>
        <v/>
      </c>
      <c r="J47">
        <f>IF('What you measure'!$F$47="a setting",'What you measure'!$A$47,"")</f>
        <v/>
      </c>
    </row>
    <row r="48">
      <c r="A48">
        <f>IF('Production lines'!$A$28="","",'Production lines'!$A$28)</f>
        <v/>
      </c>
      <c r="B48">
        <f>IF('Types'!$A$48="Allergen",'Types'!$C$48,"")</f>
        <v/>
      </c>
      <c r="C48">
        <f>IF('Types'!$A$48="Storage",'Types'!$C$48,"")</f>
        <v/>
      </c>
      <c r="D48">
        <f>IF('Types'!$A$48="Origin",'Types'!$C$48,"")</f>
        <v/>
      </c>
      <c r="E48">
        <f>IF('Types'!$A$48="Pack format",'Types'!$C$48,"")</f>
        <v/>
      </c>
      <c r="F48">
        <f>IF('Materials'!$A$48="","",'Materials'!$A$48)</f>
        <v/>
      </c>
      <c r="G48">
        <f>IF('Machines and sensors'!$A$8="","",'Machines and sensors'!$A$8)</f>
        <v/>
      </c>
      <c r="H48">
        <f>IF('Runs'!$A$48="","",'Runs'!$A$48)</f>
        <v/>
      </c>
      <c r="I48">
        <f>IF('What you measure'!$F$48="a setting","",'What you measure'!$A$48)</f>
        <v/>
      </c>
      <c r="J48">
        <f>IF('What you measure'!$F$48="a setting",'What you measure'!$A$48,"")</f>
        <v/>
      </c>
    </row>
    <row r="49">
      <c r="A49">
        <f>IF('Production lines'!$A$29="","",'Production lines'!$A$29)</f>
        <v/>
      </c>
      <c r="B49">
        <f>IF('Types'!$A$49="Allergen",'Types'!$C$49,"")</f>
        <v/>
      </c>
      <c r="C49">
        <f>IF('Types'!$A$49="Storage",'Types'!$C$49,"")</f>
        <v/>
      </c>
      <c r="D49">
        <f>IF('Types'!$A$49="Origin",'Types'!$C$49,"")</f>
        <v/>
      </c>
      <c r="E49">
        <f>IF('Types'!$A$49="Pack format",'Types'!$C$49,"")</f>
        <v/>
      </c>
      <c r="F49">
        <f>IF('Materials'!$A$49="","",'Materials'!$A$49)</f>
        <v/>
      </c>
      <c r="G49">
        <f>IF('Machines and sensors'!$A$9="","",'Machines and sensors'!$A$9)</f>
        <v/>
      </c>
      <c r="H49">
        <f>IF('Runs'!$A$49="","",'Runs'!$A$49)</f>
        <v/>
      </c>
      <c r="I49">
        <f>IF('What you measure'!$F$49="a setting","",'What you measure'!$A$49)</f>
        <v/>
      </c>
      <c r="J49">
        <f>IF('What you measure'!$F$49="a setting",'What you measure'!$A$49,"")</f>
        <v/>
      </c>
    </row>
    <row r="50">
      <c r="A50">
        <f>IF('Production lines'!$A$30="","",'Production lines'!$A$30)</f>
        <v/>
      </c>
      <c r="B50">
        <f>IF('Types'!$A$50="Allergen",'Types'!$C$50,"")</f>
        <v/>
      </c>
      <c r="C50">
        <f>IF('Types'!$A$50="Storage",'Types'!$C$50,"")</f>
        <v/>
      </c>
      <c r="D50">
        <f>IF('Types'!$A$50="Origin",'Types'!$C$50,"")</f>
        <v/>
      </c>
      <c r="E50">
        <f>IF('Types'!$A$50="Pack format",'Types'!$C$50,"")</f>
        <v/>
      </c>
      <c r="F50">
        <f>IF('Materials'!$A$50="","",'Materials'!$A$50)</f>
        <v/>
      </c>
      <c r="G50">
        <f>IF('Machines and sensors'!$A$10="","",'Machines and sensors'!$A$10)</f>
        <v/>
      </c>
      <c r="H50">
        <f>IF('Runs'!$A$50="","",'Runs'!$A$50)</f>
        <v/>
      </c>
      <c r="I50">
        <f>IF('What you measure'!$F$50="a setting","",'What you measure'!$A$50)</f>
        <v/>
      </c>
      <c r="J50">
        <f>IF('What you measure'!$F$50="a setting",'What you measure'!$A$50,"")</f>
        <v/>
      </c>
    </row>
    <row r="51">
      <c r="A51">
        <f>IF('Production lines'!$A$31="","",'Production lines'!$A$31)</f>
        <v/>
      </c>
      <c r="B51">
        <f>IF('Types'!$A$51="Allergen",'Types'!$C$51,"")</f>
        <v/>
      </c>
      <c r="C51">
        <f>IF('Types'!$A$51="Storage",'Types'!$C$51,"")</f>
        <v/>
      </c>
      <c r="D51">
        <f>IF('Types'!$A$51="Origin",'Types'!$C$51,"")</f>
        <v/>
      </c>
      <c r="E51">
        <f>IF('Types'!$A$51="Pack format",'Types'!$C$51,"")</f>
        <v/>
      </c>
      <c r="F51">
        <f>IF('Materials'!$A$51="","",'Materials'!$A$51)</f>
        <v/>
      </c>
      <c r="G51">
        <f>IF('Machines and sensors'!$A$11="","",'Machines and sensors'!$A$11)</f>
        <v/>
      </c>
      <c r="H51">
        <f>IF('Runs'!$A$51="","",'Runs'!$A$51)</f>
        <v/>
      </c>
      <c r="I51">
        <f>IF('What you measure'!$F$51="a setting","",'What you measure'!$A$51)</f>
        <v/>
      </c>
      <c r="J51">
        <f>IF('What you measure'!$F$51="a setting",'What you measure'!$A$51,"")</f>
        <v/>
      </c>
    </row>
    <row r="52">
      <c r="A52">
        <f>IF('Production lines'!$A$32="","",'Production lines'!$A$32)</f>
        <v/>
      </c>
      <c r="B52">
        <f>IF('Types'!$A$52="Allergen",'Types'!$C$52,"")</f>
        <v/>
      </c>
      <c r="C52">
        <f>IF('Types'!$A$52="Storage",'Types'!$C$52,"")</f>
        <v/>
      </c>
      <c r="D52">
        <f>IF('Types'!$A$52="Origin",'Types'!$C$52,"")</f>
        <v/>
      </c>
      <c r="E52">
        <f>IF('Types'!$A$52="Pack format",'Types'!$C$52,"")</f>
        <v/>
      </c>
      <c r="F52">
        <f>IF('Materials'!$A$52="","",'Materials'!$A$52)</f>
        <v/>
      </c>
      <c r="G52">
        <f>IF('Machines and sensors'!$A$12="","",'Machines and sensors'!$A$12)</f>
        <v/>
      </c>
      <c r="H52">
        <f>IF('Runs'!$A$52="","",'Runs'!$A$52)</f>
        <v/>
      </c>
      <c r="I52">
        <f>IF('What you measure'!$F$52="a setting","",'What you measure'!$A$52)</f>
        <v/>
      </c>
      <c r="J52">
        <f>IF('What you measure'!$F$52="a setting",'What you measure'!$A$52,"")</f>
        <v/>
      </c>
    </row>
    <row r="53">
      <c r="A53">
        <f>IF('Production lines'!$A$33="","",'Production lines'!$A$33)</f>
        <v/>
      </c>
      <c r="B53">
        <f>IF('Types'!$A$53="Allergen",'Types'!$C$53,"")</f>
        <v/>
      </c>
      <c r="C53">
        <f>IF('Types'!$A$53="Storage",'Types'!$C$53,"")</f>
        <v/>
      </c>
      <c r="D53">
        <f>IF('Types'!$A$53="Origin",'Types'!$C$53,"")</f>
        <v/>
      </c>
      <c r="E53">
        <f>IF('Types'!$A$53="Pack format",'Types'!$C$53,"")</f>
        <v/>
      </c>
      <c r="F53">
        <f>IF('Materials'!$A$53="","",'Materials'!$A$53)</f>
        <v/>
      </c>
      <c r="G53">
        <f>IF('Machines and sensors'!$A$13="","",'Machines and sensors'!$A$13)</f>
        <v/>
      </c>
      <c r="H53">
        <f>IF('Runs'!$A$53="","",'Runs'!$A$53)</f>
        <v/>
      </c>
      <c r="I53">
        <f>IF('What you measure'!$F$53="a setting","",'What you measure'!$A$53)</f>
        <v/>
      </c>
      <c r="J53">
        <f>IF('What you measure'!$F$53="a setting",'What you measure'!$A$53,"")</f>
        <v/>
      </c>
    </row>
    <row r="54">
      <c r="A54">
        <f>IF('Production lines'!$A$34="","",'Production lines'!$A$34)</f>
        <v/>
      </c>
      <c r="B54">
        <f>IF('Types'!$A$54="Allergen",'Types'!$C$54,"")</f>
        <v/>
      </c>
      <c r="C54">
        <f>IF('Types'!$A$54="Storage",'Types'!$C$54,"")</f>
        <v/>
      </c>
      <c r="D54">
        <f>IF('Types'!$A$54="Origin",'Types'!$C$54,"")</f>
        <v/>
      </c>
      <c r="E54">
        <f>IF('Types'!$A$54="Pack format",'Types'!$C$54,"")</f>
        <v/>
      </c>
      <c r="F54">
        <f>IF('Materials'!$A$54="","",'Materials'!$A$54)</f>
        <v/>
      </c>
      <c r="G54">
        <f>IF('Machines and sensors'!$A$14="","",'Machines and sensors'!$A$14)</f>
        <v/>
      </c>
      <c r="H54">
        <f>IF('Runs'!$A$54="","",'Runs'!$A$54)</f>
        <v/>
      </c>
      <c r="I54">
        <f>IF('What you measure'!$F$54="a setting","",'What you measure'!$A$54)</f>
        <v/>
      </c>
      <c r="J54">
        <f>IF('What you measure'!$F$54="a setting",'What you measure'!$A$54,"")</f>
        <v/>
      </c>
    </row>
    <row r="55">
      <c r="A55">
        <f>IF('Production lines'!$A$35="","",'Production lines'!$A$35)</f>
        <v/>
      </c>
      <c r="B55">
        <f>IF('Types'!$A$55="Allergen",'Types'!$C$55,"")</f>
        <v/>
      </c>
      <c r="C55">
        <f>IF('Types'!$A$55="Storage",'Types'!$C$55,"")</f>
        <v/>
      </c>
      <c r="D55">
        <f>IF('Types'!$A$55="Origin",'Types'!$C$55,"")</f>
        <v/>
      </c>
      <c r="E55">
        <f>IF('Types'!$A$55="Pack format",'Types'!$C$55,"")</f>
        <v/>
      </c>
      <c r="F55">
        <f>IF('Materials'!$A$55="","",'Materials'!$A$55)</f>
        <v/>
      </c>
      <c r="G55">
        <f>IF('Machines and sensors'!$A$15="","",'Machines and sensors'!$A$15)</f>
        <v/>
      </c>
      <c r="H55">
        <f>IF('Runs'!$A$55="","",'Runs'!$A$55)</f>
        <v/>
      </c>
      <c r="I55">
        <f>IF('What you measure'!$F$55="a setting","",'What you measure'!$A$55)</f>
        <v/>
      </c>
      <c r="J55">
        <f>IF('What you measure'!$F$55="a setting",'What you measure'!$A$55,"")</f>
        <v/>
      </c>
    </row>
    <row r="56">
      <c r="A56">
        <f>IF('Production lines'!$A$36="","",'Production lines'!$A$36)</f>
        <v/>
      </c>
      <c r="B56">
        <f>IF('Types'!$A$56="Allergen",'Types'!$C$56,"")</f>
        <v/>
      </c>
      <c r="C56">
        <f>IF('Types'!$A$56="Storage",'Types'!$C$56,"")</f>
        <v/>
      </c>
      <c r="D56">
        <f>IF('Types'!$A$56="Origin",'Types'!$C$56,"")</f>
        <v/>
      </c>
      <c r="E56">
        <f>IF('Types'!$A$56="Pack format",'Types'!$C$56,"")</f>
        <v/>
      </c>
      <c r="F56">
        <f>IF('Materials'!$A$56="","",'Materials'!$A$56)</f>
        <v/>
      </c>
      <c r="G56">
        <f>IF('Machines and sensors'!$A$16="","",'Machines and sensors'!$A$16)</f>
        <v/>
      </c>
      <c r="H56">
        <f>IF('Runs'!$A$56="","",'Runs'!$A$56)</f>
        <v/>
      </c>
      <c r="I56">
        <f>IF('What you measure'!$F$56="a setting","",'What you measure'!$A$56)</f>
        <v/>
      </c>
      <c r="J56">
        <f>IF('What you measure'!$F$56="a setting",'What you measure'!$A$56,"")</f>
        <v/>
      </c>
    </row>
    <row r="57">
      <c r="A57">
        <f>IF('Production lines'!$A$37="","",'Production lines'!$A$37)</f>
        <v/>
      </c>
      <c r="B57">
        <f>IF('Types'!$A$57="Allergen",'Types'!$C$57,"")</f>
        <v/>
      </c>
      <c r="C57">
        <f>IF('Types'!$A$57="Storage",'Types'!$C$57,"")</f>
        <v/>
      </c>
      <c r="D57">
        <f>IF('Types'!$A$57="Origin",'Types'!$C$57,"")</f>
        <v/>
      </c>
      <c r="E57">
        <f>IF('Types'!$A$57="Pack format",'Types'!$C$57,"")</f>
        <v/>
      </c>
      <c r="F57">
        <f>IF('Materials'!$A$57="","",'Materials'!$A$57)</f>
        <v/>
      </c>
      <c r="G57">
        <f>IF('Machines and sensors'!$A$17="","",'Machines and sensors'!$A$17)</f>
        <v/>
      </c>
      <c r="H57">
        <f>IF('Runs'!$A$57="","",'Runs'!$A$57)</f>
        <v/>
      </c>
      <c r="I57">
        <f>IF('What you measure'!$F$57="a setting","",'What you measure'!$A$57)</f>
        <v/>
      </c>
      <c r="J57">
        <f>IF('What you measure'!$F$57="a setting",'What you measure'!$A$57,"")</f>
        <v/>
      </c>
    </row>
    <row r="58">
      <c r="A58">
        <f>IF('Production lines'!$A$38="","",'Production lines'!$A$38)</f>
        <v/>
      </c>
      <c r="B58">
        <f>IF('Types'!$A$58="Allergen",'Types'!$C$58,"")</f>
        <v/>
      </c>
      <c r="C58">
        <f>IF('Types'!$A$58="Storage",'Types'!$C$58,"")</f>
        <v/>
      </c>
      <c r="D58">
        <f>IF('Types'!$A$58="Origin",'Types'!$C$58,"")</f>
        <v/>
      </c>
      <c r="E58">
        <f>IF('Types'!$A$58="Pack format",'Types'!$C$58,"")</f>
        <v/>
      </c>
      <c r="F58">
        <f>IF('Materials'!$A$58="","",'Materials'!$A$58)</f>
        <v/>
      </c>
      <c r="G58">
        <f>IF('Machines and sensors'!$A$18="","",'Machines and sensors'!$A$18)</f>
        <v/>
      </c>
      <c r="H58">
        <f>IF('Runs'!$A$58="","",'Runs'!$A$58)</f>
        <v/>
      </c>
      <c r="I58">
        <f>IF('What you measure'!$F$58="a setting","",'What you measure'!$A$58)</f>
        <v/>
      </c>
      <c r="J58">
        <f>IF('What you measure'!$F$58="a setting",'What you measure'!$A$58,"")</f>
        <v/>
      </c>
    </row>
    <row r="59">
      <c r="A59">
        <f>IF('Production lines'!$A$39="","",'Production lines'!$A$39)</f>
        <v/>
      </c>
      <c r="B59">
        <f>IF('Types'!$A$59="Allergen",'Types'!$C$59,"")</f>
        <v/>
      </c>
      <c r="C59">
        <f>IF('Types'!$A$59="Storage",'Types'!$C$59,"")</f>
        <v/>
      </c>
      <c r="D59">
        <f>IF('Types'!$A$59="Origin",'Types'!$C$59,"")</f>
        <v/>
      </c>
      <c r="E59">
        <f>IF('Types'!$A$59="Pack format",'Types'!$C$59,"")</f>
        <v/>
      </c>
      <c r="F59">
        <f>IF('Materials'!$A$59="","",'Materials'!$A$59)</f>
        <v/>
      </c>
      <c r="G59">
        <f>IF('Machines and sensors'!$A$19="","",'Machines and sensors'!$A$19)</f>
        <v/>
      </c>
      <c r="H59">
        <f>IF('Runs'!$A$59="","",'Runs'!$A$59)</f>
        <v/>
      </c>
      <c r="I59">
        <f>IF('What you measure'!$F$59="a setting","",'What you measure'!$A$59)</f>
        <v/>
      </c>
      <c r="J59">
        <f>IF('What you measure'!$F$59="a setting",'What you measure'!$A$59,"")</f>
        <v/>
      </c>
    </row>
    <row r="60">
      <c r="A60">
        <f>IF('Production lines'!$A$40="","",'Production lines'!$A$40)</f>
        <v/>
      </c>
      <c r="B60">
        <f>IF('Types'!$A$60="Allergen",'Types'!$C$60,"")</f>
        <v/>
      </c>
      <c r="C60">
        <f>IF('Types'!$A$60="Storage",'Types'!$C$60,"")</f>
        <v/>
      </c>
      <c r="D60">
        <f>IF('Types'!$A$60="Origin",'Types'!$C$60,"")</f>
        <v/>
      </c>
      <c r="E60">
        <f>IF('Types'!$A$60="Pack format",'Types'!$C$60,"")</f>
        <v/>
      </c>
      <c r="F60">
        <f>IF('Materials'!$A$60="","",'Materials'!$A$60)</f>
        <v/>
      </c>
      <c r="G60">
        <f>IF('Machines and sensors'!$A$20="","",'Machines and sensors'!$A$20)</f>
        <v/>
      </c>
      <c r="H60">
        <f>IF('Runs'!$A$60="","",'Runs'!$A$60)</f>
        <v/>
      </c>
      <c r="I60">
        <f>IF('What you measure'!$F$60="a setting","",'What you measure'!$A$60)</f>
        <v/>
      </c>
      <c r="J60">
        <f>IF('What you measure'!$F$60="a setting",'What you measure'!$A$60,"")</f>
        <v/>
      </c>
    </row>
    <row r="61">
      <c r="A61">
        <f>IF('Production lines'!$A$41="","",'Production lines'!$A$41)</f>
        <v/>
      </c>
      <c r="B61">
        <f>IF('Types'!$A$61="Allergen",'Types'!$C$61,"")</f>
        <v/>
      </c>
      <c r="C61">
        <f>IF('Types'!$A$61="Storage",'Types'!$C$61,"")</f>
        <v/>
      </c>
      <c r="D61">
        <f>IF('Types'!$A$61="Origin",'Types'!$C$61,"")</f>
        <v/>
      </c>
      <c r="E61">
        <f>IF('Types'!$A$61="Pack format",'Types'!$C$61,"")</f>
        <v/>
      </c>
      <c r="F61">
        <f>IF('Materials'!$A$61="","",'Materials'!$A$61)</f>
        <v/>
      </c>
      <c r="G61">
        <f>IF('Machines and sensors'!$A$21="","",'Machines and sensors'!$A$21)</f>
        <v/>
      </c>
      <c r="H61">
        <f>IF('Runs'!$A$61="","",'Runs'!$A$61)</f>
        <v/>
      </c>
      <c r="I61">
        <f>IF('What you measure'!$F$61="a setting","",'What you measure'!$A$61)</f>
        <v/>
      </c>
      <c r="J61">
        <f>IF('What you measure'!$F$61="a setting",'What you measure'!$A$61,"")</f>
        <v/>
      </c>
    </row>
    <row r="62">
      <c r="A62">
        <f>IF('Production lines'!$A$42="","",'Production lines'!$A$42)</f>
        <v/>
      </c>
      <c r="B62">
        <f>IF('Types'!$A$62="Allergen",'Types'!$C$62,"")</f>
        <v/>
      </c>
      <c r="C62">
        <f>IF('Types'!$A$62="Storage",'Types'!$C$62,"")</f>
        <v/>
      </c>
      <c r="D62">
        <f>IF('Types'!$A$62="Origin",'Types'!$C$62,"")</f>
        <v/>
      </c>
      <c r="E62">
        <f>IF('Types'!$A$62="Pack format",'Types'!$C$62,"")</f>
        <v/>
      </c>
      <c r="F62">
        <f>IF('Materials'!$A$62="","",'Materials'!$A$62)</f>
        <v/>
      </c>
      <c r="G62">
        <f>IF('Machines and sensors'!$A$22="","",'Machines and sensors'!$A$22)</f>
        <v/>
      </c>
      <c r="H62">
        <f>IF('Runs'!$A$62="","",'Runs'!$A$62)</f>
        <v/>
      </c>
      <c r="I62">
        <f>IF('What you measure'!$F$62="a setting","",'What you measure'!$A$62)</f>
        <v/>
      </c>
      <c r="J62">
        <f>IF('What you measure'!$F$62="a setting",'What you measure'!$A$62,"")</f>
        <v/>
      </c>
    </row>
    <row r="63">
      <c r="A63">
        <f>IF('Production lines'!$A$43="","",'Production lines'!$A$43)</f>
        <v/>
      </c>
      <c r="B63">
        <f>IF('Types'!$A$63="Allergen",'Types'!$C$63,"")</f>
        <v/>
      </c>
      <c r="C63">
        <f>IF('Types'!$A$63="Storage",'Types'!$C$63,"")</f>
        <v/>
      </c>
      <c r="D63">
        <f>IF('Types'!$A$63="Origin",'Types'!$C$63,"")</f>
        <v/>
      </c>
      <c r="E63">
        <f>IF('Types'!$A$63="Pack format",'Types'!$C$63,"")</f>
        <v/>
      </c>
      <c r="F63">
        <f>IF('Materials'!$A$63="","",'Materials'!$A$63)</f>
        <v/>
      </c>
      <c r="G63">
        <f>IF('Machines and sensors'!$A$23="","",'Machines and sensors'!$A$23)</f>
        <v/>
      </c>
      <c r="H63">
        <f>IF('Runs'!$A$63="","",'Runs'!$A$63)</f>
        <v/>
      </c>
      <c r="I63">
        <f>IF('What you measure'!$F$63="a setting","",'What you measure'!$A$63)</f>
        <v/>
      </c>
      <c r="J63">
        <f>IF('What you measure'!$F$63="a setting",'What you measure'!$A$63,"")</f>
        <v/>
      </c>
    </row>
    <row r="64">
      <c r="A64">
        <f>IF('Production lines'!$A$44="","",'Production lines'!$A$44)</f>
        <v/>
      </c>
      <c r="B64">
        <f>IF('Types'!$A$64="Allergen",'Types'!$C$64,"")</f>
        <v/>
      </c>
      <c r="C64">
        <f>IF('Types'!$A$64="Storage",'Types'!$C$64,"")</f>
        <v/>
      </c>
      <c r="D64">
        <f>IF('Types'!$A$64="Origin",'Types'!$C$64,"")</f>
        <v/>
      </c>
      <c r="E64">
        <f>IF('Types'!$A$64="Pack format",'Types'!$C$64,"")</f>
        <v/>
      </c>
      <c r="F64">
        <f>IF('Materials'!$A$64="","",'Materials'!$A$64)</f>
        <v/>
      </c>
      <c r="G64">
        <f>IF('Machines and sensors'!$A$24="","",'Machines and sensors'!$A$24)</f>
        <v/>
      </c>
      <c r="H64">
        <f>IF('Runs'!$A$64="","",'Runs'!$A$64)</f>
        <v/>
      </c>
      <c r="I64">
        <f>IF('What you measure'!$F$64="a setting","",'What you measure'!$A$64)</f>
        <v/>
      </c>
      <c r="J64">
        <f>IF('What you measure'!$F$64="a setting",'What you measure'!$A$64,"")</f>
        <v/>
      </c>
    </row>
    <row r="65">
      <c r="A65">
        <f>IF('Production lines'!$A$45="","",'Production lines'!$A$45)</f>
        <v/>
      </c>
      <c r="B65">
        <f>IF('Types'!$A$65="Allergen",'Types'!$C$65,"")</f>
        <v/>
      </c>
      <c r="C65">
        <f>IF('Types'!$A$65="Storage",'Types'!$C$65,"")</f>
        <v/>
      </c>
      <c r="D65">
        <f>IF('Types'!$A$65="Origin",'Types'!$C$65,"")</f>
        <v/>
      </c>
      <c r="E65">
        <f>IF('Types'!$A$65="Pack format",'Types'!$C$65,"")</f>
        <v/>
      </c>
      <c r="F65">
        <f>IF('Materials'!$A$65="","",'Materials'!$A$65)</f>
        <v/>
      </c>
      <c r="G65">
        <f>IF('Machines and sensors'!$A$25="","",'Machines and sensors'!$A$25)</f>
        <v/>
      </c>
      <c r="H65">
        <f>IF('Runs'!$A$65="","",'Runs'!$A$65)</f>
        <v/>
      </c>
      <c r="I65">
        <f>IF('What you measure'!$F$65="a setting","",'What you measure'!$A$65)</f>
        <v/>
      </c>
      <c r="J65">
        <f>IF('What you measure'!$F$65="a setting",'What you measure'!$A$65,"")</f>
        <v/>
      </c>
    </row>
    <row r="66">
      <c r="A66">
        <f>IF('Production lines'!$A$46="","",'Production lines'!$A$46)</f>
        <v/>
      </c>
      <c r="B66">
        <f>IF('Types'!$A$66="Allergen",'Types'!$C$66,"")</f>
        <v/>
      </c>
      <c r="C66">
        <f>IF('Types'!$A$66="Storage",'Types'!$C$66,"")</f>
        <v/>
      </c>
      <c r="D66">
        <f>IF('Types'!$A$66="Origin",'Types'!$C$66,"")</f>
        <v/>
      </c>
      <c r="E66">
        <f>IF('Types'!$A$66="Pack format",'Types'!$C$66,"")</f>
        <v/>
      </c>
      <c r="F66">
        <f>IF('Materials'!$A$66="","",'Materials'!$A$66)</f>
        <v/>
      </c>
      <c r="G66">
        <f>IF('Machines and sensors'!$A$26="","",'Machines and sensors'!$A$26)</f>
        <v/>
      </c>
      <c r="H66">
        <f>IF('Runs'!$A$66="","",'Runs'!$A$66)</f>
        <v/>
      </c>
      <c r="I66">
        <f>IF('What you measure'!$F$66="a setting","",'What you measure'!$A$66)</f>
        <v/>
      </c>
      <c r="J66">
        <f>IF('What you measure'!$F$66="a setting",'What you measure'!$A$66,"")</f>
        <v/>
      </c>
    </row>
    <row r="67">
      <c r="A67">
        <f>IF('Production lines'!$A$47="","",'Production lines'!$A$47)</f>
        <v/>
      </c>
      <c r="B67">
        <f>IF('Types'!$A$67="Allergen",'Types'!$C$67,"")</f>
        <v/>
      </c>
      <c r="C67">
        <f>IF('Types'!$A$67="Storage",'Types'!$C$67,"")</f>
        <v/>
      </c>
      <c r="D67">
        <f>IF('Types'!$A$67="Origin",'Types'!$C$67,"")</f>
        <v/>
      </c>
      <c r="E67">
        <f>IF('Types'!$A$67="Pack format",'Types'!$C$67,"")</f>
        <v/>
      </c>
      <c r="F67">
        <f>IF('Materials'!$A$67="","",'Materials'!$A$67)</f>
        <v/>
      </c>
      <c r="G67">
        <f>IF('Machines and sensors'!$A$27="","",'Machines and sensors'!$A$27)</f>
        <v/>
      </c>
      <c r="H67">
        <f>IF('Runs'!$A$67="","",'Runs'!$A$67)</f>
        <v/>
      </c>
      <c r="I67">
        <f>IF('What you measure'!$F$67="a setting","",'What you measure'!$A$67)</f>
        <v/>
      </c>
      <c r="J67">
        <f>IF('What you measure'!$F$67="a setting",'What you measure'!$A$67,"")</f>
        <v/>
      </c>
    </row>
    <row r="68">
      <c r="A68">
        <f>IF('Production lines'!$A$48="","",'Production lines'!$A$48)</f>
        <v/>
      </c>
      <c r="B68">
        <f>IF('Types'!$A$68="Allergen",'Types'!$C$68,"")</f>
        <v/>
      </c>
      <c r="C68">
        <f>IF('Types'!$A$68="Storage",'Types'!$C$68,"")</f>
        <v/>
      </c>
      <c r="D68">
        <f>IF('Types'!$A$68="Origin",'Types'!$C$68,"")</f>
        <v/>
      </c>
      <c r="E68">
        <f>IF('Types'!$A$68="Pack format",'Types'!$C$68,"")</f>
        <v/>
      </c>
      <c r="F68">
        <f>IF('Materials'!$A$68="","",'Materials'!$A$68)</f>
        <v/>
      </c>
      <c r="G68">
        <f>IF('Machines and sensors'!$A$28="","",'Machines and sensors'!$A$28)</f>
        <v/>
      </c>
      <c r="H68">
        <f>IF('Runs'!$A$68="","",'Runs'!$A$68)</f>
        <v/>
      </c>
      <c r="I68">
        <f>IF('What you measure'!$F$68="a setting","",'What you measure'!$A$68)</f>
        <v/>
      </c>
      <c r="J68">
        <f>IF('What you measure'!$F$68="a setting",'What you measure'!$A$68,"")</f>
        <v/>
      </c>
    </row>
    <row r="69">
      <c r="A69">
        <f>IF('Production lines'!$A$49="","",'Production lines'!$A$49)</f>
        <v/>
      </c>
      <c r="B69">
        <f>IF('Types'!$A$69="Allergen",'Types'!$C$69,"")</f>
        <v/>
      </c>
      <c r="C69">
        <f>IF('Types'!$A$69="Storage",'Types'!$C$69,"")</f>
        <v/>
      </c>
      <c r="D69">
        <f>IF('Types'!$A$69="Origin",'Types'!$C$69,"")</f>
        <v/>
      </c>
      <c r="E69">
        <f>IF('Types'!$A$69="Pack format",'Types'!$C$69,"")</f>
        <v/>
      </c>
      <c r="F69">
        <f>IF('Materials'!$A$69="","",'Materials'!$A$69)</f>
        <v/>
      </c>
      <c r="G69">
        <f>IF('Machines and sensors'!$A$29="","",'Machines and sensors'!$A$29)</f>
        <v/>
      </c>
      <c r="H69">
        <f>IF('Runs'!$A$69="","",'Runs'!$A$69)</f>
        <v/>
      </c>
      <c r="I69">
        <f>IF('What you measure'!$F$69="a setting","",'What you measure'!$A$69)</f>
        <v/>
      </c>
      <c r="J69">
        <f>IF('What you measure'!$F$69="a setting",'What you measure'!$A$69,"")</f>
        <v/>
      </c>
    </row>
    <row r="70">
      <c r="A70">
        <f>IF('Production lines'!$A$50="","",'Production lines'!$A$50)</f>
        <v/>
      </c>
      <c r="B70">
        <f>IF('Types'!$A$70="Allergen",'Types'!$C$70,"")</f>
        <v/>
      </c>
      <c r="C70">
        <f>IF('Types'!$A$70="Storage",'Types'!$C$70,"")</f>
        <v/>
      </c>
      <c r="D70">
        <f>IF('Types'!$A$70="Origin",'Types'!$C$70,"")</f>
        <v/>
      </c>
      <c r="E70">
        <f>IF('Types'!$A$70="Pack format",'Types'!$C$70,"")</f>
        <v/>
      </c>
      <c r="F70">
        <f>IF('Materials'!$A$70="","",'Materials'!$A$70)</f>
        <v/>
      </c>
      <c r="G70">
        <f>IF('Machines and sensors'!$A$30="","",'Machines and sensors'!$A$30)</f>
        <v/>
      </c>
      <c r="H70">
        <f>IF('Runs'!$A$70="","",'Runs'!$A$70)</f>
        <v/>
      </c>
      <c r="I70">
        <f>IF('What you measure'!$F$70="a setting","",'What you measure'!$A$70)</f>
        <v/>
      </c>
      <c r="J70">
        <f>IF('What you measure'!$F$70="a setting",'What you measure'!$A$70,"")</f>
        <v/>
      </c>
    </row>
    <row r="71">
      <c r="A71">
        <f>IF('Production lines'!$A$51="","",'Production lines'!$A$51)</f>
        <v/>
      </c>
      <c r="B71">
        <f>IF('Types'!$A$71="Allergen",'Types'!$C$71,"")</f>
        <v/>
      </c>
      <c r="C71">
        <f>IF('Types'!$A$71="Storage",'Types'!$C$71,"")</f>
        <v/>
      </c>
      <c r="D71">
        <f>IF('Types'!$A$71="Origin",'Types'!$C$71,"")</f>
        <v/>
      </c>
      <c r="E71">
        <f>IF('Types'!$A$71="Pack format",'Types'!$C$71,"")</f>
        <v/>
      </c>
      <c r="F71">
        <f>IF('Materials'!$A$71="","",'Materials'!$A$71)</f>
        <v/>
      </c>
      <c r="G71">
        <f>IF('Machines and sensors'!$A$31="","",'Machines and sensors'!$A$31)</f>
        <v/>
      </c>
      <c r="H71">
        <f>IF('Runs'!$A$71="","",'Runs'!$A$71)</f>
        <v/>
      </c>
      <c r="I71">
        <f>IF('What you measure'!$F$71="a setting","",'What you measure'!$A$71)</f>
        <v/>
      </c>
      <c r="J71">
        <f>IF('What you measure'!$F$71="a setting",'What you measure'!$A$71,"")</f>
        <v/>
      </c>
    </row>
    <row r="72">
      <c r="A72">
        <f>IF('Production lines'!$A$52="","",'Production lines'!$A$52)</f>
        <v/>
      </c>
      <c r="B72">
        <f>IF('Types'!$A$72="Allergen",'Types'!$C$72,"")</f>
        <v/>
      </c>
      <c r="C72">
        <f>IF('Types'!$A$72="Storage",'Types'!$C$72,"")</f>
        <v/>
      </c>
      <c r="D72">
        <f>IF('Types'!$A$72="Origin",'Types'!$C$72,"")</f>
        <v/>
      </c>
      <c r="E72">
        <f>IF('Types'!$A$72="Pack format",'Types'!$C$72,"")</f>
        <v/>
      </c>
      <c r="F72">
        <f>IF('Materials'!$A$72="","",'Materials'!$A$72)</f>
        <v/>
      </c>
      <c r="G72">
        <f>IF('Machines and sensors'!$A$32="","",'Machines and sensors'!$A$32)</f>
        <v/>
      </c>
      <c r="H72">
        <f>IF('Runs'!$A$72="","",'Runs'!$A$72)</f>
        <v/>
      </c>
      <c r="I72">
        <f>IF('What you measure'!$F$72="a setting","",'What you measure'!$A$72)</f>
        <v/>
      </c>
      <c r="J72">
        <f>IF('What you measure'!$F$72="a setting",'What you measure'!$A$72,"")</f>
        <v/>
      </c>
    </row>
    <row r="73">
      <c r="A73">
        <f>IF('Production lines'!$A$53="","",'Production lines'!$A$53)</f>
        <v/>
      </c>
      <c r="B73">
        <f>IF('Types'!$A$73="Allergen",'Types'!$C$73,"")</f>
        <v/>
      </c>
      <c r="C73">
        <f>IF('Types'!$A$73="Storage",'Types'!$C$73,"")</f>
        <v/>
      </c>
      <c r="D73">
        <f>IF('Types'!$A$73="Origin",'Types'!$C$73,"")</f>
        <v/>
      </c>
      <c r="E73">
        <f>IF('Types'!$A$73="Pack format",'Types'!$C$73,"")</f>
        <v/>
      </c>
      <c r="F73">
        <f>IF('Materials'!$A$73="","",'Materials'!$A$73)</f>
        <v/>
      </c>
      <c r="G73">
        <f>IF('Machines and sensors'!$A$33="","",'Machines and sensors'!$A$33)</f>
        <v/>
      </c>
      <c r="H73">
        <f>IF('Runs'!$A$73="","",'Runs'!$A$73)</f>
        <v/>
      </c>
      <c r="I73">
        <f>IF('What you measure'!$F$73="a setting","",'What you measure'!$A$73)</f>
        <v/>
      </c>
      <c r="J73">
        <f>IF('What you measure'!$F$73="a setting",'What you measure'!$A$73,"")</f>
        <v/>
      </c>
    </row>
    <row r="74">
      <c r="A74">
        <f>IF('Production lines'!$A$54="","",'Production lines'!$A$54)</f>
        <v/>
      </c>
      <c r="B74">
        <f>IF('Types'!$A$74="Allergen",'Types'!$C$74,"")</f>
        <v/>
      </c>
      <c r="C74">
        <f>IF('Types'!$A$74="Storage",'Types'!$C$74,"")</f>
        <v/>
      </c>
      <c r="D74">
        <f>IF('Types'!$A$74="Origin",'Types'!$C$74,"")</f>
        <v/>
      </c>
      <c r="E74">
        <f>IF('Types'!$A$74="Pack format",'Types'!$C$74,"")</f>
        <v/>
      </c>
      <c r="F74">
        <f>IF('Materials'!$A$74="","",'Materials'!$A$74)</f>
        <v/>
      </c>
      <c r="G74">
        <f>IF('Machines and sensors'!$A$34="","",'Machines and sensors'!$A$34)</f>
        <v/>
      </c>
      <c r="H74">
        <f>IF('Runs'!$A$74="","",'Runs'!$A$74)</f>
        <v/>
      </c>
      <c r="I74">
        <f>IF('What you measure'!$F$74="a setting","",'What you measure'!$A$74)</f>
        <v/>
      </c>
      <c r="J74">
        <f>IF('What you measure'!$F$74="a setting",'What you measure'!$A$74,"")</f>
        <v/>
      </c>
    </row>
    <row r="75">
      <c r="A75">
        <f>IF('Production lines'!$A$55="","",'Production lines'!$A$55)</f>
        <v/>
      </c>
      <c r="B75">
        <f>IF('Types'!$A$75="Allergen",'Types'!$C$75,"")</f>
        <v/>
      </c>
      <c r="C75">
        <f>IF('Types'!$A$75="Storage",'Types'!$C$75,"")</f>
        <v/>
      </c>
      <c r="D75">
        <f>IF('Types'!$A$75="Origin",'Types'!$C$75,"")</f>
        <v/>
      </c>
      <c r="E75">
        <f>IF('Types'!$A$75="Pack format",'Types'!$C$75,"")</f>
        <v/>
      </c>
      <c r="F75">
        <f>IF('Materials'!$A$75="","",'Materials'!$A$75)</f>
        <v/>
      </c>
      <c r="G75">
        <f>IF('Machines and sensors'!$A$35="","",'Machines and sensors'!$A$35)</f>
        <v/>
      </c>
      <c r="H75">
        <f>IF('Runs'!$A$75="","",'Runs'!$A$75)</f>
        <v/>
      </c>
      <c r="I75">
        <f>IF('What you measure'!$F$75="a setting","",'What you measure'!$A$75)</f>
        <v/>
      </c>
      <c r="J75">
        <f>IF('What you measure'!$F$75="a setting",'What you measure'!$A$75,"")</f>
        <v/>
      </c>
    </row>
    <row r="76">
      <c r="A76">
        <f>IF('Production lines'!$A$56="","",'Production lines'!$A$56)</f>
        <v/>
      </c>
      <c r="B76">
        <f>IF('Types'!$A$76="Allergen",'Types'!$C$76,"")</f>
        <v/>
      </c>
      <c r="C76">
        <f>IF('Types'!$A$76="Storage",'Types'!$C$76,"")</f>
        <v/>
      </c>
      <c r="D76">
        <f>IF('Types'!$A$76="Origin",'Types'!$C$76,"")</f>
        <v/>
      </c>
      <c r="E76">
        <f>IF('Types'!$A$76="Pack format",'Types'!$C$76,"")</f>
        <v/>
      </c>
      <c r="F76">
        <f>IF('Materials'!$A$76="","",'Materials'!$A$76)</f>
        <v/>
      </c>
      <c r="G76">
        <f>IF('Machines and sensors'!$A$36="","",'Machines and sensors'!$A$36)</f>
        <v/>
      </c>
      <c r="H76">
        <f>IF('Runs'!$A$76="","",'Runs'!$A$76)</f>
        <v/>
      </c>
      <c r="I76">
        <f>IF('What you measure'!$F$76="a setting","",'What you measure'!$A$76)</f>
        <v/>
      </c>
      <c r="J76">
        <f>IF('What you measure'!$F$76="a setting",'What you measure'!$A$76,"")</f>
        <v/>
      </c>
    </row>
    <row r="77">
      <c r="A77">
        <f>IF('Production lines'!$A$57="","",'Production lines'!$A$57)</f>
        <v/>
      </c>
      <c r="B77">
        <f>IF('Types'!$A$77="Allergen",'Types'!$C$77,"")</f>
        <v/>
      </c>
      <c r="C77">
        <f>IF('Types'!$A$77="Storage",'Types'!$C$77,"")</f>
        <v/>
      </c>
      <c r="D77">
        <f>IF('Types'!$A$77="Origin",'Types'!$C$77,"")</f>
        <v/>
      </c>
      <c r="E77">
        <f>IF('Types'!$A$77="Pack format",'Types'!$C$77,"")</f>
        <v/>
      </c>
      <c r="F77">
        <f>IF('Materials'!$A$77="","",'Materials'!$A$77)</f>
        <v/>
      </c>
      <c r="G77">
        <f>IF('Machines and sensors'!$A$37="","",'Machines and sensors'!$A$37)</f>
        <v/>
      </c>
      <c r="H77">
        <f>IF('Runs'!$A$77="","",'Runs'!$A$77)</f>
        <v/>
      </c>
      <c r="I77">
        <f>IF('What you measure'!$F$77="a setting","",'What you measure'!$A$77)</f>
        <v/>
      </c>
      <c r="J77">
        <f>IF('What you measure'!$F$77="a setting",'What you measure'!$A$77,"")</f>
        <v/>
      </c>
    </row>
    <row r="78">
      <c r="A78">
        <f>IF('Production lines'!$A$58="","",'Production lines'!$A$58)</f>
        <v/>
      </c>
      <c r="B78">
        <f>IF('Types'!$A$78="Allergen",'Types'!$C$78,"")</f>
        <v/>
      </c>
      <c r="C78">
        <f>IF('Types'!$A$78="Storage",'Types'!$C$78,"")</f>
        <v/>
      </c>
      <c r="D78">
        <f>IF('Types'!$A$78="Origin",'Types'!$C$78,"")</f>
        <v/>
      </c>
      <c r="E78">
        <f>IF('Types'!$A$78="Pack format",'Types'!$C$78,"")</f>
        <v/>
      </c>
      <c r="F78">
        <f>IF('Materials'!$A$78="","",'Materials'!$A$78)</f>
        <v/>
      </c>
      <c r="G78">
        <f>IF('Machines and sensors'!$A$38="","",'Machines and sensors'!$A$38)</f>
        <v/>
      </c>
      <c r="H78">
        <f>IF('Runs'!$A$78="","",'Runs'!$A$78)</f>
        <v/>
      </c>
      <c r="I78">
        <f>IF('What you measure'!$F$78="a setting","",'What you measure'!$A$78)</f>
        <v/>
      </c>
      <c r="J78">
        <f>IF('What you measure'!$F$78="a setting",'What you measure'!$A$78,"")</f>
        <v/>
      </c>
    </row>
    <row r="79">
      <c r="A79">
        <f>IF('Production lines'!$A$59="","",'Production lines'!$A$59)</f>
        <v/>
      </c>
      <c r="B79">
        <f>IF('Types'!$A$79="Allergen",'Types'!$C$79,"")</f>
        <v/>
      </c>
      <c r="C79">
        <f>IF('Types'!$A$79="Storage",'Types'!$C$79,"")</f>
        <v/>
      </c>
      <c r="D79">
        <f>IF('Types'!$A$79="Origin",'Types'!$C$79,"")</f>
        <v/>
      </c>
      <c r="E79">
        <f>IF('Types'!$A$79="Pack format",'Types'!$C$79,"")</f>
        <v/>
      </c>
      <c r="F79">
        <f>IF('Materials'!$A$79="","",'Materials'!$A$79)</f>
        <v/>
      </c>
      <c r="G79">
        <f>IF('Machines and sensors'!$A$39="","",'Machines and sensors'!$A$39)</f>
        <v/>
      </c>
      <c r="H79">
        <f>IF('Runs'!$A$79="","",'Runs'!$A$79)</f>
        <v/>
      </c>
      <c r="I79">
        <f>IF('What you measure'!$F$79="a setting","",'What you measure'!$A$79)</f>
        <v/>
      </c>
      <c r="J79">
        <f>IF('What you measure'!$F$79="a setting",'What you measure'!$A$79,"")</f>
        <v/>
      </c>
    </row>
    <row r="80">
      <c r="A80">
        <f>IF('Production lines'!$A$60="","",'Production lines'!$A$60)</f>
        <v/>
      </c>
      <c r="B80">
        <f>IF('Types'!$A$80="Allergen",'Types'!$C$80,"")</f>
        <v/>
      </c>
      <c r="C80">
        <f>IF('Types'!$A$80="Storage",'Types'!$C$80,"")</f>
        <v/>
      </c>
      <c r="D80">
        <f>IF('Types'!$A$80="Origin",'Types'!$C$80,"")</f>
        <v/>
      </c>
      <c r="E80">
        <f>IF('Types'!$A$80="Pack format",'Types'!$C$80,"")</f>
        <v/>
      </c>
      <c r="F80">
        <f>IF('Materials'!$A$80="","",'Materials'!$A$80)</f>
        <v/>
      </c>
      <c r="G80">
        <f>IF('Machines and sensors'!$A$40="","",'Machines and sensors'!$A$40)</f>
        <v/>
      </c>
      <c r="H80">
        <f>IF('Runs'!$A$80="","",'Runs'!$A$80)</f>
        <v/>
      </c>
      <c r="I80">
        <f>IF('What you measure'!$F$80="a setting","",'What you measure'!$A$80)</f>
        <v/>
      </c>
      <c r="J80">
        <f>IF('What you measure'!$F$80="a setting",'What you measure'!$A$80,"")</f>
        <v/>
      </c>
    </row>
    <row r="81">
      <c r="A81">
        <f>IF('Production lines'!$A$61="","",'Production lines'!$A$61)</f>
        <v/>
      </c>
      <c r="B81">
        <f>IF('Types'!$A$81="Allergen",'Types'!$C$81,"")</f>
        <v/>
      </c>
      <c r="C81">
        <f>IF('Types'!$A$81="Storage",'Types'!$C$81,"")</f>
        <v/>
      </c>
      <c r="D81">
        <f>IF('Types'!$A$81="Origin",'Types'!$C$81,"")</f>
        <v/>
      </c>
      <c r="E81">
        <f>IF('Types'!$A$81="Pack format",'Types'!$C$81,"")</f>
        <v/>
      </c>
      <c r="F81">
        <f>IF('Materials'!$A$81="","",'Materials'!$A$81)</f>
        <v/>
      </c>
      <c r="G81">
        <f>IF('Machines and sensors'!$A$41="","",'Machines and sensors'!$A$41)</f>
        <v/>
      </c>
      <c r="H81">
        <f>IF('Runs'!$A$81="","",'Runs'!$A$81)</f>
        <v/>
      </c>
      <c r="I81">
        <f>IF('What you measure'!$F$81="a setting","",'What you measure'!$A$81)</f>
        <v/>
      </c>
      <c r="J81">
        <f>IF('What you measure'!$F$81="a setting",'What you measure'!$A$81,"")</f>
        <v/>
      </c>
    </row>
    <row r="82">
      <c r="A82">
        <f>IF('Production lines'!$A$62="","",'Production lines'!$A$62)</f>
        <v/>
      </c>
      <c r="B82">
        <f>IF('Types'!$A$82="Allergen",'Types'!$C$82,"")</f>
        <v/>
      </c>
      <c r="C82">
        <f>IF('Types'!$A$82="Storage",'Types'!$C$82,"")</f>
        <v/>
      </c>
      <c r="D82">
        <f>IF('Types'!$A$82="Origin",'Types'!$C$82,"")</f>
        <v/>
      </c>
      <c r="E82">
        <f>IF('Types'!$A$82="Pack format",'Types'!$C$82,"")</f>
        <v/>
      </c>
      <c r="F82">
        <f>IF('Materials'!$A$82="","",'Materials'!$A$82)</f>
        <v/>
      </c>
      <c r="G82">
        <f>IF('Machines and sensors'!$A$42="","",'Machines and sensors'!$A$42)</f>
        <v/>
      </c>
      <c r="H82">
        <f>IF('Runs'!$A$82="","",'Runs'!$A$82)</f>
        <v/>
      </c>
      <c r="I82">
        <f>IF('What you measure'!$F$82="a setting","",'What you measure'!$A$82)</f>
        <v/>
      </c>
      <c r="J82">
        <f>IF('What you measure'!$F$82="a setting",'What you measure'!$A$82,"")</f>
        <v/>
      </c>
    </row>
    <row r="83">
      <c r="A83">
        <f>IF('Production lines'!$A$63="","",'Production lines'!$A$63)</f>
        <v/>
      </c>
      <c r="B83">
        <f>IF('Types'!$A$83="Allergen",'Types'!$C$83,"")</f>
        <v/>
      </c>
      <c r="C83">
        <f>IF('Types'!$A$83="Storage",'Types'!$C$83,"")</f>
        <v/>
      </c>
      <c r="D83">
        <f>IF('Types'!$A$83="Origin",'Types'!$C$83,"")</f>
        <v/>
      </c>
      <c r="E83">
        <f>IF('Types'!$A$83="Pack format",'Types'!$C$83,"")</f>
        <v/>
      </c>
      <c r="F83">
        <f>IF('Materials'!$A$83="","",'Materials'!$A$83)</f>
        <v/>
      </c>
      <c r="G83">
        <f>IF('Machines and sensors'!$A$43="","",'Machines and sensors'!$A$43)</f>
        <v/>
      </c>
      <c r="H83">
        <f>IF('Runs'!$A$83="","",'Runs'!$A$83)</f>
        <v/>
      </c>
      <c r="I83">
        <f>IF('What you measure'!$F$83="a setting","",'What you measure'!$A$83)</f>
        <v/>
      </c>
      <c r="J83">
        <f>IF('What you measure'!$F$83="a setting",'What you measure'!$A$83,"")</f>
        <v/>
      </c>
    </row>
    <row r="84">
      <c r="A84">
        <f>IF('Machines and sensors'!$A$4="","",'Machines and sensors'!$A$4)</f>
        <v/>
      </c>
      <c r="B84">
        <f>IF('Types'!$A$84="Allergen",'Types'!$C$84,"")</f>
        <v/>
      </c>
      <c r="C84">
        <f>IF('Types'!$A$84="Storage",'Types'!$C$84,"")</f>
        <v/>
      </c>
      <c r="D84">
        <f>IF('Types'!$A$84="Origin",'Types'!$C$84,"")</f>
        <v/>
      </c>
      <c r="E84">
        <f>IF('Types'!$A$84="Pack format",'Types'!$C$84,"")</f>
        <v/>
      </c>
      <c r="F84">
        <f>IF('Materials'!$A$84="","",'Materials'!$A$84)</f>
        <v/>
      </c>
      <c r="G84">
        <f>IF('Machines and sensors'!$A$44="","",'Machines and sensors'!$A$44)</f>
        <v/>
      </c>
      <c r="H84">
        <f>IF('Runs'!$A$84="","",'Runs'!$A$84)</f>
        <v/>
      </c>
      <c r="I84">
        <f>IF('What you measure'!$F$84="a setting","",'What you measure'!$A$84)</f>
        <v/>
      </c>
      <c r="J84">
        <f>IF('What you measure'!$F$84="a setting",'What you measure'!$A$84,"")</f>
        <v/>
      </c>
    </row>
    <row r="85">
      <c r="A85">
        <f>IF('Machines and sensors'!$A$5="","",'Machines and sensors'!$A$5)</f>
        <v/>
      </c>
      <c r="B85">
        <f>IF('Types'!$A$85="Allergen",'Types'!$C$85,"")</f>
        <v/>
      </c>
      <c r="C85">
        <f>IF('Types'!$A$85="Storage",'Types'!$C$85,"")</f>
        <v/>
      </c>
      <c r="D85">
        <f>IF('Types'!$A$85="Origin",'Types'!$C$85,"")</f>
        <v/>
      </c>
      <c r="E85">
        <f>IF('Types'!$A$85="Pack format",'Types'!$C$85,"")</f>
        <v/>
      </c>
      <c r="F85">
        <f>IF('Materials'!$A$85="","",'Materials'!$A$85)</f>
        <v/>
      </c>
      <c r="G85">
        <f>IF('Machines and sensors'!$A$45="","",'Machines and sensors'!$A$45)</f>
        <v/>
      </c>
      <c r="H85">
        <f>IF('Runs'!$A$85="","",'Runs'!$A$85)</f>
        <v/>
      </c>
      <c r="I85">
        <f>IF('What you measure'!$F$85="a setting","",'What you measure'!$A$85)</f>
        <v/>
      </c>
      <c r="J85">
        <f>IF('What you measure'!$F$85="a setting",'What you measure'!$A$85,"")</f>
        <v/>
      </c>
    </row>
    <row r="86">
      <c r="A86">
        <f>IF('Machines and sensors'!$A$6="","",'Machines and sensors'!$A$6)</f>
        <v/>
      </c>
      <c r="B86">
        <f>IF('Types'!$A$86="Allergen",'Types'!$C$86,"")</f>
        <v/>
      </c>
      <c r="C86">
        <f>IF('Types'!$A$86="Storage",'Types'!$C$86,"")</f>
        <v/>
      </c>
      <c r="D86">
        <f>IF('Types'!$A$86="Origin",'Types'!$C$86,"")</f>
        <v/>
      </c>
      <c r="E86">
        <f>IF('Types'!$A$86="Pack format",'Types'!$C$86,"")</f>
        <v/>
      </c>
      <c r="F86">
        <f>IF('Materials'!$A$86="","",'Materials'!$A$86)</f>
        <v/>
      </c>
      <c r="G86">
        <f>IF('Machines and sensors'!$A$46="","",'Machines and sensors'!$A$46)</f>
        <v/>
      </c>
      <c r="H86">
        <f>IF('Runs'!$A$86="","",'Runs'!$A$86)</f>
        <v/>
      </c>
      <c r="I86">
        <f>IF('What you measure'!$F$86="a setting","",'What you measure'!$A$86)</f>
        <v/>
      </c>
      <c r="J86">
        <f>IF('What you measure'!$F$86="a setting",'What you measure'!$A$86,"")</f>
        <v/>
      </c>
    </row>
    <row r="87">
      <c r="A87">
        <f>IF('Machines and sensors'!$A$7="","",'Machines and sensors'!$A$7)</f>
        <v/>
      </c>
      <c r="B87">
        <f>IF('Types'!$A$87="Allergen",'Types'!$C$87,"")</f>
        <v/>
      </c>
      <c r="C87">
        <f>IF('Types'!$A$87="Storage",'Types'!$C$87,"")</f>
        <v/>
      </c>
      <c r="D87">
        <f>IF('Types'!$A$87="Origin",'Types'!$C$87,"")</f>
        <v/>
      </c>
      <c r="E87">
        <f>IF('Types'!$A$87="Pack format",'Types'!$C$87,"")</f>
        <v/>
      </c>
      <c r="F87">
        <f>IF('Materials'!$A$87="","",'Materials'!$A$87)</f>
        <v/>
      </c>
      <c r="G87">
        <f>IF('Machines and sensors'!$A$47="","",'Machines and sensors'!$A$47)</f>
        <v/>
      </c>
      <c r="H87">
        <f>IF('Runs'!$A$87="","",'Runs'!$A$87)</f>
        <v/>
      </c>
      <c r="I87">
        <f>IF('What you measure'!$F$87="a setting","",'What you measure'!$A$87)</f>
        <v/>
      </c>
      <c r="J87">
        <f>IF('What you measure'!$F$87="a setting",'What you measure'!$A$87,"")</f>
        <v/>
      </c>
    </row>
    <row r="88">
      <c r="A88">
        <f>IF('Machines and sensors'!$A$8="","",'Machines and sensors'!$A$8)</f>
        <v/>
      </c>
      <c r="B88">
        <f>IF('Types'!$A$88="Allergen",'Types'!$C$88,"")</f>
        <v/>
      </c>
      <c r="C88">
        <f>IF('Types'!$A$88="Storage",'Types'!$C$88,"")</f>
        <v/>
      </c>
      <c r="D88">
        <f>IF('Types'!$A$88="Origin",'Types'!$C$88,"")</f>
        <v/>
      </c>
      <c r="E88">
        <f>IF('Types'!$A$88="Pack format",'Types'!$C$88,"")</f>
        <v/>
      </c>
      <c r="F88">
        <f>IF('Materials'!$A$88="","",'Materials'!$A$88)</f>
        <v/>
      </c>
      <c r="G88">
        <f>IF('Machines and sensors'!$A$48="","",'Machines and sensors'!$A$48)</f>
        <v/>
      </c>
      <c r="H88">
        <f>IF('Runs'!$A$88="","",'Runs'!$A$88)</f>
        <v/>
      </c>
      <c r="I88">
        <f>IF('What you measure'!$F$88="a setting","",'What you measure'!$A$88)</f>
        <v/>
      </c>
      <c r="J88">
        <f>IF('What you measure'!$F$88="a setting",'What you measure'!$A$88,"")</f>
        <v/>
      </c>
    </row>
    <row r="89">
      <c r="A89">
        <f>IF('Machines and sensors'!$A$9="","",'Machines and sensors'!$A$9)</f>
        <v/>
      </c>
      <c r="B89">
        <f>IF('Types'!$A$89="Allergen",'Types'!$C$89,"")</f>
        <v/>
      </c>
      <c r="C89">
        <f>IF('Types'!$A$89="Storage",'Types'!$C$89,"")</f>
        <v/>
      </c>
      <c r="D89">
        <f>IF('Types'!$A$89="Origin",'Types'!$C$89,"")</f>
        <v/>
      </c>
      <c r="E89">
        <f>IF('Types'!$A$89="Pack format",'Types'!$C$89,"")</f>
        <v/>
      </c>
      <c r="F89">
        <f>IF('Materials'!$A$89="","",'Materials'!$A$89)</f>
        <v/>
      </c>
      <c r="G89">
        <f>IF('Machines and sensors'!$A$49="","",'Machines and sensors'!$A$49)</f>
        <v/>
      </c>
      <c r="H89">
        <f>IF('Runs'!$A$89="","",'Runs'!$A$89)</f>
        <v/>
      </c>
      <c r="I89">
        <f>IF('What you measure'!$F$89="a setting","",'What you measure'!$A$89)</f>
        <v/>
      </c>
      <c r="J89">
        <f>IF('What you measure'!$F$89="a setting",'What you measure'!$A$89,"")</f>
        <v/>
      </c>
    </row>
    <row r="90">
      <c r="A90">
        <f>IF('Machines and sensors'!$A$10="","",'Machines and sensors'!$A$10)</f>
        <v/>
      </c>
      <c r="B90">
        <f>IF('Types'!$A$90="Allergen",'Types'!$C$90,"")</f>
        <v/>
      </c>
      <c r="C90">
        <f>IF('Types'!$A$90="Storage",'Types'!$C$90,"")</f>
        <v/>
      </c>
      <c r="D90">
        <f>IF('Types'!$A$90="Origin",'Types'!$C$90,"")</f>
        <v/>
      </c>
      <c r="E90">
        <f>IF('Types'!$A$90="Pack format",'Types'!$C$90,"")</f>
        <v/>
      </c>
      <c r="F90">
        <f>IF('Materials'!$A$90="","",'Materials'!$A$90)</f>
        <v/>
      </c>
      <c r="G90">
        <f>IF('Machines and sensors'!$A$50="","",'Machines and sensors'!$A$50)</f>
        <v/>
      </c>
      <c r="H90">
        <f>IF('Runs'!$A$90="","",'Runs'!$A$90)</f>
        <v/>
      </c>
      <c r="I90">
        <f>IF('What you measure'!$F$90="a setting","",'What you measure'!$A$90)</f>
        <v/>
      </c>
      <c r="J90">
        <f>IF('What you measure'!$F$90="a setting",'What you measure'!$A$90,"")</f>
        <v/>
      </c>
    </row>
    <row r="91">
      <c r="A91">
        <f>IF('Machines and sensors'!$A$11="","",'Machines and sensors'!$A$11)</f>
        <v/>
      </c>
      <c r="B91">
        <f>IF('Types'!$A$91="Allergen",'Types'!$C$91,"")</f>
        <v/>
      </c>
      <c r="C91">
        <f>IF('Types'!$A$91="Storage",'Types'!$C$91,"")</f>
        <v/>
      </c>
      <c r="D91">
        <f>IF('Types'!$A$91="Origin",'Types'!$C$91,"")</f>
        <v/>
      </c>
      <c r="E91">
        <f>IF('Types'!$A$91="Pack format",'Types'!$C$91,"")</f>
        <v/>
      </c>
      <c r="F91">
        <f>IF('Materials'!$A$91="","",'Materials'!$A$91)</f>
        <v/>
      </c>
      <c r="G91">
        <f>IF('Machines and sensors'!$A$51="","",'Machines and sensors'!$A$51)</f>
        <v/>
      </c>
      <c r="H91">
        <f>IF('Runs'!$A$91="","",'Runs'!$A$91)</f>
        <v/>
      </c>
      <c r="I91">
        <f>IF('What you measure'!$F$91="a setting","",'What you measure'!$A$91)</f>
        <v/>
      </c>
      <c r="J91">
        <f>IF('What you measure'!$F$91="a setting",'What you measure'!$A$91,"")</f>
        <v/>
      </c>
    </row>
    <row r="92">
      <c r="A92">
        <f>IF('Machines and sensors'!$A$12="","",'Machines and sensors'!$A$12)</f>
        <v/>
      </c>
      <c r="B92">
        <f>IF('Types'!$A$92="Allergen",'Types'!$C$92,"")</f>
        <v/>
      </c>
      <c r="C92">
        <f>IF('Types'!$A$92="Storage",'Types'!$C$92,"")</f>
        <v/>
      </c>
      <c r="D92">
        <f>IF('Types'!$A$92="Origin",'Types'!$C$92,"")</f>
        <v/>
      </c>
      <c r="E92">
        <f>IF('Types'!$A$92="Pack format",'Types'!$C$92,"")</f>
        <v/>
      </c>
      <c r="F92">
        <f>IF('Materials'!$A$92="","",'Materials'!$A$92)</f>
        <v/>
      </c>
      <c r="G92">
        <f>IF('Machines and sensors'!$A$52="","",'Machines and sensors'!$A$52)</f>
        <v/>
      </c>
      <c r="H92">
        <f>IF('Runs'!$A$92="","",'Runs'!$A$92)</f>
        <v/>
      </c>
      <c r="I92">
        <f>IF('What you measure'!$F$92="a setting","",'What you measure'!$A$92)</f>
        <v/>
      </c>
      <c r="J92">
        <f>IF('What you measure'!$F$92="a setting",'What you measure'!$A$92,"")</f>
        <v/>
      </c>
    </row>
    <row r="93">
      <c r="A93">
        <f>IF('Machines and sensors'!$A$13="","",'Machines and sensors'!$A$13)</f>
        <v/>
      </c>
      <c r="B93">
        <f>IF('Types'!$A$93="Allergen",'Types'!$C$93,"")</f>
        <v/>
      </c>
      <c r="C93">
        <f>IF('Types'!$A$93="Storage",'Types'!$C$93,"")</f>
        <v/>
      </c>
      <c r="D93">
        <f>IF('Types'!$A$93="Origin",'Types'!$C$93,"")</f>
        <v/>
      </c>
      <c r="E93">
        <f>IF('Types'!$A$93="Pack format",'Types'!$C$93,"")</f>
        <v/>
      </c>
      <c r="F93">
        <f>IF('Materials'!$A$93="","",'Materials'!$A$93)</f>
        <v/>
      </c>
      <c r="G93">
        <f>IF('Machines and sensors'!$A$53="","",'Machines and sensors'!$A$53)</f>
        <v/>
      </c>
      <c r="H93">
        <f>IF('Runs'!$A$93="","",'Runs'!$A$93)</f>
        <v/>
      </c>
      <c r="I93">
        <f>IF('What you measure'!$F$93="a setting","",'What you measure'!$A$93)</f>
        <v/>
      </c>
      <c r="J93">
        <f>IF('What you measure'!$F$93="a setting",'What you measure'!$A$93,"")</f>
        <v/>
      </c>
    </row>
    <row r="94">
      <c r="A94">
        <f>IF('Machines and sensors'!$A$14="","",'Machines and sensors'!$A$14)</f>
        <v/>
      </c>
      <c r="B94">
        <f>IF('Types'!$A$94="Allergen",'Types'!$C$94,"")</f>
        <v/>
      </c>
      <c r="C94">
        <f>IF('Types'!$A$94="Storage",'Types'!$C$94,"")</f>
        <v/>
      </c>
      <c r="D94">
        <f>IF('Types'!$A$94="Origin",'Types'!$C$94,"")</f>
        <v/>
      </c>
      <c r="E94">
        <f>IF('Types'!$A$94="Pack format",'Types'!$C$94,"")</f>
        <v/>
      </c>
      <c r="F94">
        <f>IF('Materials'!$A$94="","",'Materials'!$A$94)</f>
        <v/>
      </c>
      <c r="G94">
        <f>IF('Machines and sensors'!$A$54="","",'Machines and sensors'!$A$54)</f>
        <v/>
      </c>
      <c r="H94">
        <f>IF('Runs'!$A$94="","",'Runs'!$A$94)</f>
        <v/>
      </c>
      <c r="I94">
        <f>IF('What you measure'!$F$94="a setting","",'What you measure'!$A$94)</f>
        <v/>
      </c>
      <c r="J94">
        <f>IF('What you measure'!$F$94="a setting",'What you measure'!$A$94,"")</f>
        <v/>
      </c>
    </row>
    <row r="95">
      <c r="A95">
        <f>IF('Machines and sensors'!$A$15="","",'Machines and sensors'!$A$15)</f>
        <v/>
      </c>
      <c r="B95">
        <f>IF('Types'!$A$95="Allergen",'Types'!$C$95,"")</f>
        <v/>
      </c>
      <c r="C95">
        <f>IF('Types'!$A$95="Storage",'Types'!$C$95,"")</f>
        <v/>
      </c>
      <c r="D95">
        <f>IF('Types'!$A$95="Origin",'Types'!$C$95,"")</f>
        <v/>
      </c>
      <c r="E95">
        <f>IF('Types'!$A$95="Pack format",'Types'!$C$95,"")</f>
        <v/>
      </c>
      <c r="F95">
        <f>IF('Materials'!$A$95="","",'Materials'!$A$95)</f>
        <v/>
      </c>
      <c r="G95">
        <f>IF('Machines and sensors'!$A$55="","",'Machines and sensors'!$A$55)</f>
        <v/>
      </c>
      <c r="H95">
        <f>IF('Runs'!$A$95="","",'Runs'!$A$95)</f>
        <v/>
      </c>
      <c r="I95">
        <f>IF('What you measure'!$F$95="a setting","",'What you measure'!$A$95)</f>
        <v/>
      </c>
      <c r="J95">
        <f>IF('What you measure'!$F$95="a setting",'What you measure'!$A$95,"")</f>
        <v/>
      </c>
    </row>
    <row r="96">
      <c r="A96">
        <f>IF('Machines and sensors'!$A$16="","",'Machines and sensors'!$A$16)</f>
        <v/>
      </c>
      <c r="B96">
        <f>IF('Types'!$A$96="Allergen",'Types'!$C$96,"")</f>
        <v/>
      </c>
      <c r="C96">
        <f>IF('Types'!$A$96="Storage",'Types'!$C$96,"")</f>
        <v/>
      </c>
      <c r="D96">
        <f>IF('Types'!$A$96="Origin",'Types'!$C$96,"")</f>
        <v/>
      </c>
      <c r="E96">
        <f>IF('Types'!$A$96="Pack format",'Types'!$C$96,"")</f>
        <v/>
      </c>
      <c r="F96">
        <f>IF('Materials'!$A$96="","",'Materials'!$A$96)</f>
        <v/>
      </c>
      <c r="G96">
        <f>IF('Machines and sensors'!$A$56="","",'Machines and sensors'!$A$56)</f>
        <v/>
      </c>
      <c r="H96">
        <f>IF('Runs'!$A$96="","",'Runs'!$A$96)</f>
        <v/>
      </c>
      <c r="I96">
        <f>IF('What you measure'!$F$96="a setting","",'What you measure'!$A$96)</f>
        <v/>
      </c>
      <c r="J96">
        <f>IF('What you measure'!$F$96="a setting",'What you measure'!$A$96,"")</f>
        <v/>
      </c>
    </row>
    <row r="97">
      <c r="A97">
        <f>IF('Machines and sensors'!$A$17="","",'Machines and sensors'!$A$17)</f>
        <v/>
      </c>
      <c r="B97">
        <f>IF('Types'!$A$97="Allergen",'Types'!$C$97,"")</f>
        <v/>
      </c>
      <c r="C97">
        <f>IF('Types'!$A$97="Storage",'Types'!$C$97,"")</f>
        <v/>
      </c>
      <c r="D97">
        <f>IF('Types'!$A$97="Origin",'Types'!$C$97,"")</f>
        <v/>
      </c>
      <c r="E97">
        <f>IF('Types'!$A$97="Pack format",'Types'!$C$97,"")</f>
        <v/>
      </c>
      <c r="F97">
        <f>IF('Materials'!$A$97="","",'Materials'!$A$97)</f>
        <v/>
      </c>
      <c r="G97">
        <f>IF('Machines and sensors'!$A$57="","",'Machines and sensors'!$A$57)</f>
        <v/>
      </c>
      <c r="H97">
        <f>IF('Runs'!$A$97="","",'Runs'!$A$97)</f>
        <v/>
      </c>
      <c r="I97">
        <f>IF('What you measure'!$F$97="a setting","",'What you measure'!$A$97)</f>
        <v/>
      </c>
      <c r="J97">
        <f>IF('What you measure'!$F$97="a setting",'What you measure'!$A$97,"")</f>
        <v/>
      </c>
    </row>
    <row r="98">
      <c r="A98">
        <f>IF('Machines and sensors'!$A$18="","",'Machines and sensors'!$A$18)</f>
        <v/>
      </c>
      <c r="B98">
        <f>IF('Types'!$A$98="Allergen",'Types'!$C$98,"")</f>
        <v/>
      </c>
      <c r="C98">
        <f>IF('Types'!$A$98="Storage",'Types'!$C$98,"")</f>
        <v/>
      </c>
      <c r="D98">
        <f>IF('Types'!$A$98="Origin",'Types'!$C$98,"")</f>
        <v/>
      </c>
      <c r="E98">
        <f>IF('Types'!$A$98="Pack format",'Types'!$C$98,"")</f>
        <v/>
      </c>
      <c r="F98">
        <f>IF('Materials'!$A$98="","",'Materials'!$A$98)</f>
        <v/>
      </c>
      <c r="G98">
        <f>IF('Machines and sensors'!$A$58="","",'Machines and sensors'!$A$58)</f>
        <v/>
      </c>
      <c r="H98">
        <f>IF('Runs'!$A$98="","",'Runs'!$A$98)</f>
        <v/>
      </c>
      <c r="I98">
        <f>IF('What you measure'!$F$98="a setting","",'What you measure'!$A$98)</f>
        <v/>
      </c>
      <c r="J98">
        <f>IF('What you measure'!$F$98="a setting",'What you measure'!$A$98,"")</f>
        <v/>
      </c>
    </row>
    <row r="99">
      <c r="A99">
        <f>IF('Machines and sensors'!$A$19="","",'Machines and sensors'!$A$19)</f>
        <v/>
      </c>
      <c r="B99">
        <f>IF('Types'!$A$99="Allergen",'Types'!$C$99,"")</f>
        <v/>
      </c>
      <c r="C99">
        <f>IF('Types'!$A$99="Storage",'Types'!$C$99,"")</f>
        <v/>
      </c>
      <c r="D99">
        <f>IF('Types'!$A$99="Origin",'Types'!$C$99,"")</f>
        <v/>
      </c>
      <c r="E99">
        <f>IF('Types'!$A$99="Pack format",'Types'!$C$99,"")</f>
        <v/>
      </c>
      <c r="F99">
        <f>IF('Materials'!$A$99="","",'Materials'!$A$99)</f>
        <v/>
      </c>
      <c r="G99">
        <f>IF('Machines and sensors'!$A$59="","",'Machines and sensors'!$A$59)</f>
        <v/>
      </c>
      <c r="H99">
        <f>IF('Runs'!$A$99="","",'Runs'!$A$99)</f>
        <v/>
      </c>
      <c r="I99">
        <f>IF('What you measure'!$F$99="a setting","",'What you measure'!$A$99)</f>
        <v/>
      </c>
      <c r="J99">
        <f>IF('What you measure'!$F$99="a setting",'What you measure'!$A$99,"")</f>
        <v/>
      </c>
    </row>
    <row r="100">
      <c r="A100">
        <f>IF('Machines and sensors'!$A$20="","",'Machines and sensors'!$A$20)</f>
        <v/>
      </c>
      <c r="B100">
        <f>IF('Types'!$A$100="Allergen",'Types'!$C$100,"")</f>
        <v/>
      </c>
      <c r="C100">
        <f>IF('Types'!$A$100="Storage",'Types'!$C$100,"")</f>
        <v/>
      </c>
      <c r="D100">
        <f>IF('Types'!$A$100="Origin",'Types'!$C$100,"")</f>
        <v/>
      </c>
      <c r="E100">
        <f>IF('Types'!$A$100="Pack format",'Types'!$C$100,"")</f>
        <v/>
      </c>
      <c r="F100">
        <f>IF('Materials'!$A$100="","",'Materials'!$A$100)</f>
        <v/>
      </c>
      <c r="G100">
        <f>IF('Machines and sensors'!$A$60="","",'Machines and sensors'!$A$60)</f>
        <v/>
      </c>
      <c r="H100">
        <f>IF('Runs'!$A$100="","",'Runs'!$A$100)</f>
        <v/>
      </c>
      <c r="I100">
        <f>IF('What you measure'!$F$100="a setting","",'What you measure'!$A$100)</f>
        <v/>
      </c>
      <c r="J100">
        <f>IF('What you measure'!$F$100="a setting",'What you measure'!$A$100,"")</f>
        <v/>
      </c>
    </row>
    <row r="101">
      <c r="A101">
        <f>IF('Machines and sensors'!$A$21="","",'Machines and sensors'!$A$21)</f>
        <v/>
      </c>
      <c r="B101">
        <f>IF('Types'!$A$101="Allergen",'Types'!$C$101,"")</f>
        <v/>
      </c>
      <c r="C101">
        <f>IF('Types'!$A$101="Storage",'Types'!$C$101,"")</f>
        <v/>
      </c>
      <c r="D101">
        <f>IF('Types'!$A$101="Origin",'Types'!$C$101,"")</f>
        <v/>
      </c>
      <c r="E101">
        <f>IF('Types'!$A$101="Pack format",'Types'!$C$101,"")</f>
        <v/>
      </c>
      <c r="F101">
        <f>IF('Materials'!$A$101="","",'Materials'!$A$101)</f>
        <v/>
      </c>
      <c r="G101">
        <f>IF('Machines and sensors'!$A$61="","",'Machines and sensors'!$A$61)</f>
        <v/>
      </c>
      <c r="H101">
        <f>IF('Runs'!$A$101="","",'Runs'!$A$101)</f>
        <v/>
      </c>
      <c r="I101">
        <f>IF('What you measure'!$F$101="a setting","",'What you measure'!$A$101)</f>
        <v/>
      </c>
      <c r="J101">
        <f>IF('What you measure'!$F$101="a setting",'What you measure'!$A$101,"")</f>
        <v/>
      </c>
    </row>
    <row r="102">
      <c r="A102">
        <f>IF('Machines and sensors'!$A$22="","",'Machines and sensors'!$A$22)</f>
        <v/>
      </c>
      <c r="B102">
        <f>IF('Types'!$A$102="Allergen",'Types'!$C$102,"")</f>
        <v/>
      </c>
      <c r="C102">
        <f>IF('Types'!$A$102="Storage",'Types'!$C$102,"")</f>
        <v/>
      </c>
      <c r="D102">
        <f>IF('Types'!$A$102="Origin",'Types'!$C$102,"")</f>
        <v/>
      </c>
      <c r="E102">
        <f>IF('Types'!$A$102="Pack format",'Types'!$C$102,"")</f>
        <v/>
      </c>
      <c r="F102">
        <f>IF('Materials'!$A$102="","",'Materials'!$A$102)</f>
        <v/>
      </c>
      <c r="G102">
        <f>IF('Machines and sensors'!$A$62="","",'Machines and sensors'!$A$62)</f>
        <v/>
      </c>
      <c r="H102">
        <f>IF('Runs'!$A$102="","",'Runs'!$A$102)</f>
        <v/>
      </c>
      <c r="I102">
        <f>IF('What you measure'!$F$102="a setting","",'What you measure'!$A$102)</f>
        <v/>
      </c>
      <c r="J102">
        <f>IF('What you measure'!$F$102="a setting",'What you measure'!$A$102,"")</f>
        <v/>
      </c>
    </row>
    <row r="103">
      <c r="A103">
        <f>IF('Machines and sensors'!$A$23="","",'Machines and sensors'!$A$23)</f>
        <v/>
      </c>
      <c r="B103">
        <f>IF('Types'!$A$103="Allergen",'Types'!$C$103,"")</f>
        <v/>
      </c>
      <c r="C103">
        <f>IF('Types'!$A$103="Storage",'Types'!$C$103,"")</f>
        <v/>
      </c>
      <c r="D103">
        <f>IF('Types'!$A$103="Origin",'Types'!$C$103,"")</f>
        <v/>
      </c>
      <c r="E103">
        <f>IF('Types'!$A$103="Pack format",'Types'!$C$103,"")</f>
        <v/>
      </c>
      <c r="F103">
        <f>IF('Materials'!$A$103="","",'Materials'!$A$103)</f>
        <v/>
      </c>
      <c r="G103">
        <f>IF('Machines and sensors'!$A$63="","",'Machines and sensors'!$A$63)</f>
        <v/>
      </c>
      <c r="H103">
        <f>IF('Runs'!$A$103="","",'Runs'!$A$103)</f>
        <v/>
      </c>
      <c r="I103">
        <f>IF('What you measure'!$F$103="a setting","",'What you measure'!$A$103)</f>
        <v/>
      </c>
      <c r="J103">
        <f>IF('What you measure'!$F$103="a setting",'What you measure'!$A$103,"")</f>
        <v/>
      </c>
    </row>
    <row r="104">
      <c r="A104">
        <f>IF('Machines and sensors'!$A$24="","",'Machines and sensors'!$A$24)</f>
        <v/>
      </c>
      <c r="B104">
        <f>IF('Types'!$A$104="Allergen",'Types'!$C$104,"")</f>
        <v/>
      </c>
      <c r="C104">
        <f>IF('Types'!$A$104="Storage",'Types'!$C$104,"")</f>
        <v/>
      </c>
      <c r="D104">
        <f>IF('Types'!$A$104="Origin",'Types'!$C$104,"")</f>
        <v/>
      </c>
      <c r="E104">
        <f>IF('Types'!$A$104="Pack format",'Types'!$C$104,"")</f>
        <v/>
      </c>
      <c r="F104">
        <f>IF('Materials'!$A$104="","",'Materials'!$A$104)</f>
        <v/>
      </c>
      <c r="G104">
        <f>IF('Machines and sensors'!$A$64="","",'Machines and sensors'!$A$64)</f>
        <v/>
      </c>
      <c r="H104">
        <f>IF('Runs'!$A$104="","",'Runs'!$A$104)</f>
        <v/>
      </c>
      <c r="I104">
        <f>IF('What you measure'!$F$104="a setting","",'What you measure'!$A$104)</f>
        <v/>
      </c>
      <c r="J104">
        <f>IF('What you measure'!$F$104="a setting",'What you measure'!$A$104,"")</f>
        <v/>
      </c>
    </row>
    <row r="105">
      <c r="A105">
        <f>IF('Machines and sensors'!$A$25="","",'Machines and sensors'!$A$25)</f>
        <v/>
      </c>
      <c r="B105">
        <f>IF('Types'!$A$105="Allergen",'Types'!$C$105,"")</f>
        <v/>
      </c>
      <c r="C105">
        <f>IF('Types'!$A$105="Storage",'Types'!$C$105,"")</f>
        <v/>
      </c>
      <c r="D105">
        <f>IF('Types'!$A$105="Origin",'Types'!$C$105,"")</f>
        <v/>
      </c>
      <c r="E105">
        <f>IF('Types'!$A$105="Pack format",'Types'!$C$105,"")</f>
        <v/>
      </c>
      <c r="F105">
        <f>IF('Materials'!$A$105="","",'Materials'!$A$105)</f>
        <v/>
      </c>
      <c r="G105">
        <f>IF('Machines and sensors'!$A$65="","",'Machines and sensors'!$A$65)</f>
        <v/>
      </c>
      <c r="H105">
        <f>IF('Runs'!$A$105="","",'Runs'!$A$105)</f>
        <v/>
      </c>
      <c r="I105">
        <f>IF('What you measure'!$F$105="a setting","",'What you measure'!$A$105)</f>
        <v/>
      </c>
      <c r="J105">
        <f>IF('What you measure'!$F$105="a setting",'What you measure'!$A$105,"")</f>
        <v/>
      </c>
    </row>
    <row r="106">
      <c r="A106">
        <f>IF('Machines and sensors'!$A$26="","",'Machines and sensors'!$A$26)</f>
        <v/>
      </c>
      <c r="B106">
        <f>IF('Types'!$A$106="Allergen",'Types'!$C$106,"")</f>
        <v/>
      </c>
      <c r="C106">
        <f>IF('Types'!$A$106="Storage",'Types'!$C$106,"")</f>
        <v/>
      </c>
      <c r="D106">
        <f>IF('Types'!$A$106="Origin",'Types'!$C$106,"")</f>
        <v/>
      </c>
      <c r="E106">
        <f>IF('Types'!$A$106="Pack format",'Types'!$C$106,"")</f>
        <v/>
      </c>
      <c r="F106">
        <f>IF('Materials'!$A$106="","",'Materials'!$A$106)</f>
        <v/>
      </c>
      <c r="G106">
        <f>IF('Machines and sensors'!$A$66="","",'Machines and sensors'!$A$66)</f>
        <v/>
      </c>
      <c r="H106">
        <f>IF('Runs'!$A$106="","",'Runs'!$A$106)</f>
        <v/>
      </c>
      <c r="I106">
        <f>IF('What you measure'!$F$106="a setting","",'What you measure'!$A$106)</f>
        <v/>
      </c>
      <c r="J106">
        <f>IF('What you measure'!$F$106="a setting",'What you measure'!$A$106,"")</f>
        <v/>
      </c>
    </row>
    <row r="107">
      <c r="A107">
        <f>IF('Machines and sensors'!$A$27="","",'Machines and sensors'!$A$27)</f>
        <v/>
      </c>
      <c r="B107">
        <f>IF('Types'!$A$107="Allergen",'Types'!$C$107,"")</f>
        <v/>
      </c>
      <c r="C107">
        <f>IF('Types'!$A$107="Storage",'Types'!$C$107,"")</f>
        <v/>
      </c>
      <c r="D107">
        <f>IF('Types'!$A$107="Origin",'Types'!$C$107,"")</f>
        <v/>
      </c>
      <c r="E107">
        <f>IF('Types'!$A$107="Pack format",'Types'!$C$107,"")</f>
        <v/>
      </c>
      <c r="F107">
        <f>IF('Materials'!$A$107="","",'Materials'!$A$107)</f>
        <v/>
      </c>
      <c r="G107">
        <f>IF('Machines and sensors'!$A$67="","",'Machines and sensors'!$A$67)</f>
        <v/>
      </c>
      <c r="H107">
        <f>IF('Runs'!$A$107="","",'Runs'!$A$107)</f>
        <v/>
      </c>
      <c r="I107">
        <f>IF('What you measure'!$F$107="a setting","",'What you measure'!$A$107)</f>
        <v/>
      </c>
      <c r="J107">
        <f>IF('What you measure'!$F$107="a setting",'What you measure'!$A$107,"")</f>
        <v/>
      </c>
    </row>
    <row r="108">
      <c r="A108">
        <f>IF('Machines and sensors'!$A$28="","",'Machines and sensors'!$A$28)</f>
        <v/>
      </c>
      <c r="B108">
        <f>IF('Types'!$A$108="Allergen",'Types'!$C$108,"")</f>
        <v/>
      </c>
      <c r="C108">
        <f>IF('Types'!$A$108="Storage",'Types'!$C$108,"")</f>
        <v/>
      </c>
      <c r="D108">
        <f>IF('Types'!$A$108="Origin",'Types'!$C$108,"")</f>
        <v/>
      </c>
      <c r="E108">
        <f>IF('Types'!$A$108="Pack format",'Types'!$C$108,"")</f>
        <v/>
      </c>
      <c r="F108">
        <f>IF('Materials'!$A$108="","",'Materials'!$A$108)</f>
        <v/>
      </c>
      <c r="G108">
        <f>IF('Machines and sensors'!$A$68="","",'Machines and sensors'!$A$68)</f>
        <v/>
      </c>
      <c r="H108">
        <f>IF('Runs'!$A$108="","",'Runs'!$A$108)</f>
        <v/>
      </c>
      <c r="I108">
        <f>IF('What you measure'!$F$108="a setting","",'What you measure'!$A$108)</f>
        <v/>
      </c>
      <c r="J108">
        <f>IF('What you measure'!$F$108="a setting",'What you measure'!$A$108,"")</f>
        <v/>
      </c>
    </row>
    <row r="109">
      <c r="A109">
        <f>IF('Machines and sensors'!$A$29="","",'Machines and sensors'!$A$29)</f>
        <v/>
      </c>
      <c r="B109">
        <f>IF('Types'!$A$109="Allergen",'Types'!$C$109,"")</f>
        <v/>
      </c>
      <c r="C109">
        <f>IF('Types'!$A$109="Storage",'Types'!$C$109,"")</f>
        <v/>
      </c>
      <c r="D109">
        <f>IF('Types'!$A$109="Origin",'Types'!$C$109,"")</f>
        <v/>
      </c>
      <c r="E109">
        <f>IF('Types'!$A$109="Pack format",'Types'!$C$109,"")</f>
        <v/>
      </c>
      <c r="F109">
        <f>IF('Materials'!$A$109="","",'Materials'!$A$109)</f>
        <v/>
      </c>
      <c r="G109">
        <f>IF('Machines and sensors'!$A$69="","",'Machines and sensors'!$A$69)</f>
        <v/>
      </c>
      <c r="H109">
        <f>IF('Runs'!$A$109="","",'Runs'!$A$109)</f>
        <v/>
      </c>
      <c r="I109">
        <f>IF('What you measure'!$F$109="a setting","",'What you measure'!$A$109)</f>
        <v/>
      </c>
      <c r="J109">
        <f>IF('What you measure'!$F$109="a setting",'What you measure'!$A$109,"")</f>
        <v/>
      </c>
    </row>
    <row r="110">
      <c r="A110">
        <f>IF('Machines and sensors'!$A$30="","",'Machines and sensors'!$A$30)</f>
        <v/>
      </c>
      <c r="B110">
        <f>IF('Types'!$A$110="Allergen",'Types'!$C$110,"")</f>
        <v/>
      </c>
      <c r="C110">
        <f>IF('Types'!$A$110="Storage",'Types'!$C$110,"")</f>
        <v/>
      </c>
      <c r="D110">
        <f>IF('Types'!$A$110="Origin",'Types'!$C$110,"")</f>
        <v/>
      </c>
      <c r="E110">
        <f>IF('Types'!$A$110="Pack format",'Types'!$C$110,"")</f>
        <v/>
      </c>
      <c r="F110">
        <f>IF('Materials'!$A$110="","",'Materials'!$A$110)</f>
        <v/>
      </c>
      <c r="G110">
        <f>IF('Machines and sensors'!$A$70="","",'Machines and sensors'!$A$70)</f>
        <v/>
      </c>
      <c r="H110">
        <f>IF('Runs'!$A$110="","",'Runs'!$A$110)</f>
        <v/>
      </c>
      <c r="I110">
        <f>IF('What you measure'!$F$110="a setting","",'What you measure'!$A$110)</f>
        <v/>
      </c>
      <c r="J110">
        <f>IF('What you measure'!$F$110="a setting",'What you measure'!$A$110,"")</f>
        <v/>
      </c>
    </row>
    <row r="111">
      <c r="A111">
        <f>IF('Machines and sensors'!$A$31="","",'Machines and sensors'!$A$31)</f>
        <v/>
      </c>
      <c r="B111">
        <f>IF('Types'!$A$111="Allergen",'Types'!$C$111,"")</f>
        <v/>
      </c>
      <c r="C111">
        <f>IF('Types'!$A$111="Storage",'Types'!$C$111,"")</f>
        <v/>
      </c>
      <c r="D111">
        <f>IF('Types'!$A$111="Origin",'Types'!$C$111,"")</f>
        <v/>
      </c>
      <c r="E111">
        <f>IF('Types'!$A$111="Pack format",'Types'!$C$111,"")</f>
        <v/>
      </c>
      <c r="F111">
        <f>IF('Materials'!$A$111="","",'Materials'!$A$111)</f>
        <v/>
      </c>
      <c r="G111">
        <f>IF('Machines and sensors'!$A$71="","",'Machines and sensors'!$A$71)</f>
        <v/>
      </c>
      <c r="H111">
        <f>IF('Runs'!$A$111="","",'Runs'!$A$111)</f>
        <v/>
      </c>
      <c r="I111">
        <f>IF('What you measure'!$F$111="a setting","",'What you measure'!$A$111)</f>
        <v/>
      </c>
      <c r="J111">
        <f>IF('What you measure'!$F$111="a setting",'What you measure'!$A$111,"")</f>
        <v/>
      </c>
    </row>
    <row r="112">
      <c r="A112">
        <f>IF('Machines and sensors'!$A$32="","",'Machines and sensors'!$A$32)</f>
        <v/>
      </c>
      <c r="B112">
        <f>IF('Types'!$A$112="Allergen",'Types'!$C$112,"")</f>
        <v/>
      </c>
      <c r="C112">
        <f>IF('Types'!$A$112="Storage",'Types'!$C$112,"")</f>
        <v/>
      </c>
      <c r="D112">
        <f>IF('Types'!$A$112="Origin",'Types'!$C$112,"")</f>
        <v/>
      </c>
      <c r="E112">
        <f>IF('Types'!$A$112="Pack format",'Types'!$C$112,"")</f>
        <v/>
      </c>
      <c r="F112">
        <f>IF('Materials'!$A$112="","",'Materials'!$A$112)</f>
        <v/>
      </c>
      <c r="G112">
        <f>IF('Machines and sensors'!$A$72="","",'Machines and sensors'!$A$72)</f>
        <v/>
      </c>
      <c r="H112">
        <f>IF('Runs'!$A$112="","",'Runs'!$A$112)</f>
        <v/>
      </c>
      <c r="I112">
        <f>IF('What you measure'!$F$112="a setting","",'What you measure'!$A$112)</f>
        <v/>
      </c>
      <c r="J112">
        <f>IF('What you measure'!$F$112="a setting",'What you measure'!$A$112,"")</f>
        <v/>
      </c>
    </row>
    <row r="113">
      <c r="A113">
        <f>IF('Machines and sensors'!$A$33="","",'Machines and sensors'!$A$33)</f>
        <v/>
      </c>
      <c r="B113">
        <f>IF('Types'!$A$113="Allergen",'Types'!$C$113,"")</f>
        <v/>
      </c>
      <c r="C113">
        <f>IF('Types'!$A$113="Storage",'Types'!$C$113,"")</f>
        <v/>
      </c>
      <c r="D113">
        <f>IF('Types'!$A$113="Origin",'Types'!$C$113,"")</f>
        <v/>
      </c>
      <c r="E113">
        <f>IF('Types'!$A$113="Pack format",'Types'!$C$113,"")</f>
        <v/>
      </c>
      <c r="F113">
        <f>IF('Materials'!$A$113="","",'Materials'!$A$113)</f>
        <v/>
      </c>
      <c r="G113">
        <f>IF('Machines and sensors'!$A$73="","",'Machines and sensors'!$A$73)</f>
        <v/>
      </c>
      <c r="H113">
        <f>IF('Runs'!$A$113="","",'Runs'!$A$113)</f>
        <v/>
      </c>
      <c r="I113">
        <f>IF('What you measure'!$F$113="a setting","",'What you measure'!$A$113)</f>
        <v/>
      </c>
      <c r="J113">
        <f>IF('What you measure'!$F$113="a setting",'What you measure'!$A$113,"")</f>
        <v/>
      </c>
    </row>
    <row r="114">
      <c r="A114">
        <f>IF('Machines and sensors'!$A$34="","",'Machines and sensors'!$A$34)</f>
        <v/>
      </c>
      <c r="B114">
        <f>IF('Types'!$A$114="Allergen",'Types'!$C$114,"")</f>
        <v/>
      </c>
      <c r="C114">
        <f>IF('Types'!$A$114="Storage",'Types'!$C$114,"")</f>
        <v/>
      </c>
      <c r="D114">
        <f>IF('Types'!$A$114="Origin",'Types'!$C$114,"")</f>
        <v/>
      </c>
      <c r="E114">
        <f>IF('Types'!$A$114="Pack format",'Types'!$C$114,"")</f>
        <v/>
      </c>
      <c r="F114">
        <f>IF('Materials'!$A$114="","",'Materials'!$A$114)</f>
        <v/>
      </c>
      <c r="G114">
        <f>IF('Machines and sensors'!$A$74="","",'Machines and sensors'!$A$74)</f>
        <v/>
      </c>
      <c r="H114">
        <f>IF('Runs'!$A$114="","",'Runs'!$A$114)</f>
        <v/>
      </c>
      <c r="I114">
        <f>IF('What you measure'!$F$114="a setting","",'What you measure'!$A$114)</f>
        <v/>
      </c>
      <c r="J114">
        <f>IF('What you measure'!$F$114="a setting",'What you measure'!$A$114,"")</f>
        <v/>
      </c>
    </row>
    <row r="115">
      <c r="A115">
        <f>IF('Machines and sensors'!$A$35="","",'Machines and sensors'!$A$35)</f>
        <v/>
      </c>
      <c r="B115">
        <f>IF('Types'!$A$115="Allergen",'Types'!$C$115,"")</f>
        <v/>
      </c>
      <c r="C115">
        <f>IF('Types'!$A$115="Storage",'Types'!$C$115,"")</f>
        <v/>
      </c>
      <c r="D115">
        <f>IF('Types'!$A$115="Origin",'Types'!$C$115,"")</f>
        <v/>
      </c>
      <c r="E115">
        <f>IF('Types'!$A$115="Pack format",'Types'!$C$115,"")</f>
        <v/>
      </c>
      <c r="F115">
        <f>IF('Materials'!$A$115="","",'Materials'!$A$115)</f>
        <v/>
      </c>
      <c r="G115">
        <f>IF('Machines and sensors'!$A$75="","",'Machines and sensors'!$A$75)</f>
        <v/>
      </c>
      <c r="H115">
        <f>IF('Runs'!$A$115="","",'Runs'!$A$115)</f>
        <v/>
      </c>
      <c r="I115">
        <f>IF('What you measure'!$F$115="a setting","",'What you measure'!$A$115)</f>
        <v/>
      </c>
      <c r="J115">
        <f>IF('What you measure'!$F$115="a setting",'What you measure'!$A$115,"")</f>
        <v/>
      </c>
    </row>
    <row r="116">
      <c r="A116">
        <f>IF('Machines and sensors'!$A$36="","",'Machines and sensors'!$A$36)</f>
        <v/>
      </c>
      <c r="B116">
        <f>IF('Types'!$A$116="Allergen",'Types'!$C$116,"")</f>
        <v/>
      </c>
      <c r="C116">
        <f>IF('Types'!$A$116="Storage",'Types'!$C$116,"")</f>
        <v/>
      </c>
      <c r="D116">
        <f>IF('Types'!$A$116="Origin",'Types'!$C$116,"")</f>
        <v/>
      </c>
      <c r="E116">
        <f>IF('Types'!$A$116="Pack format",'Types'!$C$116,"")</f>
        <v/>
      </c>
      <c r="F116">
        <f>IF('Materials'!$A$116="","",'Materials'!$A$116)</f>
        <v/>
      </c>
      <c r="G116">
        <f>IF('Machines and sensors'!$A$76="","",'Machines and sensors'!$A$76)</f>
        <v/>
      </c>
      <c r="H116">
        <f>IF('Runs'!$A$116="","",'Runs'!$A$116)</f>
        <v/>
      </c>
      <c r="I116">
        <f>IF('What you measure'!$F$116="a setting","",'What you measure'!$A$116)</f>
        <v/>
      </c>
      <c r="J116">
        <f>IF('What you measure'!$F$116="a setting",'What you measure'!$A$116,"")</f>
        <v/>
      </c>
    </row>
    <row r="117">
      <c r="A117">
        <f>IF('Machines and sensors'!$A$37="","",'Machines and sensors'!$A$37)</f>
        <v/>
      </c>
      <c r="B117">
        <f>IF('Types'!$A$117="Allergen",'Types'!$C$117,"")</f>
        <v/>
      </c>
      <c r="C117">
        <f>IF('Types'!$A$117="Storage",'Types'!$C$117,"")</f>
        <v/>
      </c>
      <c r="D117">
        <f>IF('Types'!$A$117="Origin",'Types'!$C$117,"")</f>
        <v/>
      </c>
      <c r="E117">
        <f>IF('Types'!$A$117="Pack format",'Types'!$C$117,"")</f>
        <v/>
      </c>
      <c r="F117">
        <f>IF('Materials'!$A$117="","",'Materials'!$A$117)</f>
        <v/>
      </c>
      <c r="G117">
        <f>IF('Machines and sensors'!$A$77="","",'Machines and sensors'!$A$77)</f>
        <v/>
      </c>
      <c r="H117">
        <f>IF('Runs'!$A$117="","",'Runs'!$A$117)</f>
        <v/>
      </c>
      <c r="I117">
        <f>IF('What you measure'!$F$117="a setting","",'What you measure'!$A$117)</f>
        <v/>
      </c>
      <c r="J117">
        <f>IF('What you measure'!$F$117="a setting",'What you measure'!$A$117,"")</f>
        <v/>
      </c>
    </row>
    <row r="118">
      <c r="A118">
        <f>IF('Machines and sensors'!$A$38="","",'Machines and sensors'!$A$38)</f>
        <v/>
      </c>
      <c r="B118">
        <f>IF('Types'!$A$118="Allergen",'Types'!$C$118,"")</f>
        <v/>
      </c>
      <c r="C118">
        <f>IF('Types'!$A$118="Storage",'Types'!$C$118,"")</f>
        <v/>
      </c>
      <c r="D118">
        <f>IF('Types'!$A$118="Origin",'Types'!$C$118,"")</f>
        <v/>
      </c>
      <c r="E118">
        <f>IF('Types'!$A$118="Pack format",'Types'!$C$118,"")</f>
        <v/>
      </c>
      <c r="F118">
        <f>IF('Materials'!$A$118="","",'Materials'!$A$118)</f>
        <v/>
      </c>
      <c r="G118">
        <f>IF('Machines and sensors'!$A$78="","",'Machines and sensors'!$A$78)</f>
        <v/>
      </c>
      <c r="H118">
        <f>IF('Runs'!$A$118="","",'Runs'!$A$118)</f>
        <v/>
      </c>
      <c r="I118">
        <f>IF('What you measure'!$F$118="a setting","",'What you measure'!$A$118)</f>
        <v/>
      </c>
      <c r="J118">
        <f>IF('What you measure'!$F$118="a setting",'What you measure'!$A$118,"")</f>
        <v/>
      </c>
    </row>
    <row r="119">
      <c r="A119">
        <f>IF('Machines and sensors'!$A$39="","",'Machines and sensors'!$A$39)</f>
        <v/>
      </c>
      <c r="B119">
        <f>IF('Types'!$A$119="Allergen",'Types'!$C$119,"")</f>
        <v/>
      </c>
      <c r="C119">
        <f>IF('Types'!$A$119="Storage",'Types'!$C$119,"")</f>
        <v/>
      </c>
      <c r="D119">
        <f>IF('Types'!$A$119="Origin",'Types'!$C$119,"")</f>
        <v/>
      </c>
      <c r="E119">
        <f>IF('Types'!$A$119="Pack format",'Types'!$C$119,"")</f>
        <v/>
      </c>
      <c r="F119">
        <f>IF('Materials'!$A$119="","",'Materials'!$A$119)</f>
        <v/>
      </c>
      <c r="G119">
        <f>IF('Machines and sensors'!$A$79="","",'Machines and sensors'!$A$79)</f>
        <v/>
      </c>
      <c r="H119">
        <f>IF('Runs'!$A$119="","",'Runs'!$A$119)</f>
        <v/>
      </c>
      <c r="I119">
        <f>IF('What you measure'!$F$119="a setting","",'What you measure'!$A$119)</f>
        <v/>
      </c>
      <c r="J119">
        <f>IF('What you measure'!$F$119="a setting",'What you measure'!$A$119,"")</f>
        <v/>
      </c>
    </row>
    <row r="120">
      <c r="A120">
        <f>IF('Machines and sensors'!$A$40="","",'Machines and sensors'!$A$40)</f>
        <v/>
      </c>
      <c r="B120">
        <f>IF('Types'!$A$120="Allergen",'Types'!$C$120,"")</f>
        <v/>
      </c>
      <c r="C120">
        <f>IF('Types'!$A$120="Storage",'Types'!$C$120,"")</f>
        <v/>
      </c>
      <c r="D120">
        <f>IF('Types'!$A$120="Origin",'Types'!$C$120,"")</f>
        <v/>
      </c>
      <c r="E120">
        <f>IF('Types'!$A$120="Pack format",'Types'!$C$120,"")</f>
        <v/>
      </c>
      <c r="F120">
        <f>IF('Materials'!$A$120="","",'Materials'!$A$120)</f>
        <v/>
      </c>
      <c r="G120">
        <f>IF('Machines and sensors'!$A$80="","",'Machines and sensors'!$A$80)</f>
        <v/>
      </c>
      <c r="H120">
        <f>IF('Runs'!$A$120="","",'Runs'!$A$120)</f>
        <v/>
      </c>
      <c r="I120">
        <f>IF('What you measure'!$F$120="a setting","",'What you measure'!$A$120)</f>
        <v/>
      </c>
      <c r="J120">
        <f>IF('What you measure'!$F$120="a setting",'What you measure'!$A$120,"")</f>
        <v/>
      </c>
    </row>
    <row r="121">
      <c r="A121">
        <f>IF('Machines and sensors'!$A$41="","",'Machines and sensors'!$A$41)</f>
        <v/>
      </c>
      <c r="B121">
        <f>IF('Types'!$A$121="Allergen",'Types'!$C$121,"")</f>
        <v/>
      </c>
      <c r="C121">
        <f>IF('Types'!$A$121="Storage",'Types'!$C$121,"")</f>
        <v/>
      </c>
      <c r="D121">
        <f>IF('Types'!$A$121="Origin",'Types'!$C$121,"")</f>
        <v/>
      </c>
      <c r="E121">
        <f>IF('Types'!$A$121="Pack format",'Types'!$C$121,"")</f>
        <v/>
      </c>
      <c r="F121">
        <f>IF('Materials'!$A$121="","",'Materials'!$A$121)</f>
        <v/>
      </c>
      <c r="G121">
        <f>IF('Machines and sensors'!$A$81="","",'Machines and sensors'!$A$81)</f>
        <v/>
      </c>
      <c r="H121">
        <f>IF('Runs'!$A$121="","",'Runs'!$A$121)</f>
        <v/>
      </c>
      <c r="I121">
        <f>IF('What you measure'!$F$121="a setting","",'What you measure'!$A$121)</f>
        <v/>
      </c>
      <c r="J121">
        <f>IF('What you measure'!$F$121="a setting",'What you measure'!$A$121,"")</f>
        <v/>
      </c>
    </row>
    <row r="122">
      <c r="A122">
        <f>IF('Machines and sensors'!$A$42="","",'Machines and sensors'!$A$42)</f>
        <v/>
      </c>
      <c r="B122">
        <f>IF('Types'!$A$122="Allergen",'Types'!$C$122,"")</f>
        <v/>
      </c>
      <c r="C122">
        <f>IF('Types'!$A$122="Storage",'Types'!$C$122,"")</f>
        <v/>
      </c>
      <c r="D122">
        <f>IF('Types'!$A$122="Origin",'Types'!$C$122,"")</f>
        <v/>
      </c>
      <c r="E122">
        <f>IF('Types'!$A$122="Pack format",'Types'!$C$122,"")</f>
        <v/>
      </c>
      <c r="F122">
        <f>IF('Materials'!$A$122="","",'Materials'!$A$122)</f>
        <v/>
      </c>
      <c r="G122">
        <f>IF('Machines and sensors'!$A$82="","",'Machines and sensors'!$A$82)</f>
        <v/>
      </c>
      <c r="H122">
        <f>IF('Runs'!$A$122="","",'Runs'!$A$122)</f>
        <v/>
      </c>
      <c r="I122">
        <f>IF('What you measure'!$F$122="a setting","",'What you measure'!$A$122)</f>
        <v/>
      </c>
      <c r="J122">
        <f>IF('What you measure'!$F$122="a setting",'What you measure'!$A$122,"")</f>
        <v/>
      </c>
    </row>
    <row r="123">
      <c r="A123">
        <f>IF('Machines and sensors'!$A$43="","",'Machines and sensors'!$A$43)</f>
        <v/>
      </c>
      <c r="B123">
        <f>IF('Types'!$A$123="Allergen",'Types'!$C$123,"")</f>
        <v/>
      </c>
      <c r="C123">
        <f>IF('Types'!$A$123="Storage",'Types'!$C$123,"")</f>
        <v/>
      </c>
      <c r="D123">
        <f>IF('Types'!$A$123="Origin",'Types'!$C$123,"")</f>
        <v/>
      </c>
      <c r="E123">
        <f>IF('Types'!$A$123="Pack format",'Types'!$C$123,"")</f>
        <v/>
      </c>
      <c r="F123">
        <f>IF('Materials'!$A$123="","",'Materials'!$A$123)</f>
        <v/>
      </c>
      <c r="G123">
        <f>IF('Machines and sensors'!$A$83="","",'Machines and sensors'!$A$83)</f>
        <v/>
      </c>
      <c r="H123">
        <f>IF('Runs'!$A$123="","",'Runs'!$A$123)</f>
        <v/>
      </c>
      <c r="I123">
        <f>IF('What you measure'!$F$123="a setting","",'What you measure'!$A$123)</f>
        <v/>
      </c>
      <c r="J123">
        <f>IF('What you measure'!$F$123="a setting",'What you measure'!$A$123,"")</f>
        <v/>
      </c>
    </row>
    <row r="124">
      <c r="A124">
        <f>IF('Machines and sensors'!$A$44="","",'Machines and sensors'!$A$44)</f>
        <v/>
      </c>
      <c r="F124">
        <f>IF('Cost lines'!$A$4="","",'Cost lines'!$A$4)</f>
        <v/>
      </c>
      <c r="G124">
        <f>IF('Machines and sensors'!$A$84="","",'Machines and sensors'!$A$84)</f>
        <v/>
      </c>
      <c r="H124">
        <f>IF('Runs'!$A$124="","",'Runs'!$A$124)</f>
        <v/>
      </c>
    </row>
    <row r="125">
      <c r="A125">
        <f>IF('Machines and sensors'!$A$45="","",'Machines and sensors'!$A$45)</f>
        <v/>
      </c>
      <c r="F125">
        <f>IF('Cost lines'!$A$5="","",'Cost lines'!$A$5)</f>
        <v/>
      </c>
      <c r="G125">
        <f>IF('Machines and sensors'!$A$85="","",'Machines and sensors'!$A$85)</f>
        <v/>
      </c>
      <c r="H125">
        <f>IF('Runs'!$A$125="","",'Runs'!$A$125)</f>
        <v/>
      </c>
    </row>
    <row r="126">
      <c r="A126">
        <f>IF('Machines and sensors'!$A$46="","",'Machines and sensors'!$A$46)</f>
        <v/>
      </c>
      <c r="F126">
        <f>IF('Cost lines'!$A$6="","",'Cost lines'!$A$6)</f>
        <v/>
      </c>
      <c r="G126">
        <f>IF('Machines and sensors'!$A$86="","",'Machines and sensors'!$A$86)</f>
        <v/>
      </c>
      <c r="H126">
        <f>IF('Runs'!$A$126="","",'Runs'!$A$126)</f>
        <v/>
      </c>
    </row>
    <row r="127">
      <c r="A127">
        <f>IF('Machines and sensors'!$A$47="","",'Machines and sensors'!$A$47)</f>
        <v/>
      </c>
      <c r="F127">
        <f>IF('Cost lines'!$A$7="","",'Cost lines'!$A$7)</f>
        <v/>
      </c>
      <c r="G127">
        <f>IF('Machines and sensors'!$A$87="","",'Machines and sensors'!$A$87)</f>
        <v/>
      </c>
      <c r="H127">
        <f>IF('Runs'!$A$127="","",'Runs'!$A$127)</f>
        <v/>
      </c>
    </row>
    <row r="128">
      <c r="A128">
        <f>IF('Machines and sensors'!$A$48="","",'Machines and sensors'!$A$48)</f>
        <v/>
      </c>
      <c r="F128">
        <f>IF('Cost lines'!$A$8="","",'Cost lines'!$A$8)</f>
        <v/>
      </c>
      <c r="G128">
        <f>IF('Machines and sensors'!$A$88="","",'Machines and sensors'!$A$88)</f>
        <v/>
      </c>
      <c r="H128">
        <f>IF('Runs'!$A$128="","",'Runs'!$A$128)</f>
        <v/>
      </c>
    </row>
    <row r="129">
      <c r="A129">
        <f>IF('Machines and sensors'!$A$49="","",'Machines and sensors'!$A$49)</f>
        <v/>
      </c>
      <c r="F129">
        <f>IF('Cost lines'!$A$9="","",'Cost lines'!$A$9)</f>
        <v/>
      </c>
      <c r="G129">
        <f>IF('Machines and sensors'!$A$89="","",'Machines and sensors'!$A$89)</f>
        <v/>
      </c>
      <c r="H129">
        <f>IF('Runs'!$A$129="","",'Runs'!$A$129)</f>
        <v/>
      </c>
    </row>
    <row r="130">
      <c r="A130">
        <f>IF('Machines and sensors'!$A$50="","",'Machines and sensors'!$A$50)</f>
        <v/>
      </c>
      <c r="F130">
        <f>IF('Cost lines'!$A$10="","",'Cost lines'!$A$10)</f>
        <v/>
      </c>
      <c r="G130">
        <f>IF('Machines and sensors'!$A$90="","",'Machines and sensors'!$A$90)</f>
        <v/>
      </c>
      <c r="H130">
        <f>IF('Runs'!$A$130="","",'Runs'!$A$130)</f>
        <v/>
      </c>
    </row>
    <row r="131">
      <c r="A131">
        <f>IF('Machines and sensors'!$A$51="","",'Machines and sensors'!$A$51)</f>
        <v/>
      </c>
      <c r="F131">
        <f>IF('Cost lines'!$A$11="","",'Cost lines'!$A$11)</f>
        <v/>
      </c>
      <c r="G131">
        <f>IF('Machines and sensors'!$A$91="","",'Machines and sensors'!$A$91)</f>
        <v/>
      </c>
      <c r="H131">
        <f>IF('Runs'!$A$131="","",'Runs'!$A$131)</f>
        <v/>
      </c>
    </row>
    <row r="132">
      <c r="A132">
        <f>IF('Machines and sensors'!$A$52="","",'Machines and sensors'!$A$52)</f>
        <v/>
      </c>
      <c r="F132">
        <f>IF('Cost lines'!$A$12="","",'Cost lines'!$A$12)</f>
        <v/>
      </c>
      <c r="G132">
        <f>IF('Machines and sensors'!$A$92="","",'Machines and sensors'!$A$92)</f>
        <v/>
      </c>
      <c r="H132">
        <f>IF('Runs'!$A$132="","",'Runs'!$A$132)</f>
        <v/>
      </c>
    </row>
    <row r="133">
      <c r="A133">
        <f>IF('Machines and sensors'!$A$53="","",'Machines and sensors'!$A$53)</f>
        <v/>
      </c>
      <c r="F133">
        <f>IF('Cost lines'!$A$13="","",'Cost lines'!$A$13)</f>
        <v/>
      </c>
      <c r="G133">
        <f>IF('Machines and sensors'!$A$93="","",'Machines and sensors'!$A$93)</f>
        <v/>
      </c>
      <c r="H133">
        <f>IF('Runs'!$A$133="","",'Runs'!$A$133)</f>
        <v/>
      </c>
    </row>
    <row r="134">
      <c r="A134">
        <f>IF('Machines and sensors'!$A$54="","",'Machines and sensors'!$A$54)</f>
        <v/>
      </c>
      <c r="F134">
        <f>IF('Cost lines'!$A$14="","",'Cost lines'!$A$14)</f>
        <v/>
      </c>
      <c r="G134">
        <f>IF('Machines and sensors'!$A$94="","",'Machines and sensors'!$A$94)</f>
        <v/>
      </c>
      <c r="H134">
        <f>IF('Runs'!$A$134="","",'Runs'!$A$134)</f>
        <v/>
      </c>
    </row>
    <row r="135">
      <c r="A135">
        <f>IF('Machines and sensors'!$A$55="","",'Machines and sensors'!$A$55)</f>
        <v/>
      </c>
      <c r="F135">
        <f>IF('Cost lines'!$A$15="","",'Cost lines'!$A$15)</f>
        <v/>
      </c>
      <c r="G135">
        <f>IF('Machines and sensors'!$A$95="","",'Machines and sensors'!$A$95)</f>
        <v/>
      </c>
      <c r="H135">
        <f>IF('Runs'!$A$135="","",'Runs'!$A$135)</f>
        <v/>
      </c>
    </row>
    <row r="136">
      <c r="A136">
        <f>IF('Machines and sensors'!$A$56="","",'Machines and sensors'!$A$56)</f>
        <v/>
      </c>
      <c r="F136">
        <f>IF('Cost lines'!$A$16="","",'Cost lines'!$A$16)</f>
        <v/>
      </c>
      <c r="G136">
        <f>IF('Machines and sensors'!$A$96="","",'Machines and sensors'!$A$96)</f>
        <v/>
      </c>
      <c r="H136">
        <f>IF('Runs'!$A$136="","",'Runs'!$A$136)</f>
        <v/>
      </c>
    </row>
    <row r="137">
      <c r="A137">
        <f>IF('Machines and sensors'!$A$57="","",'Machines and sensors'!$A$57)</f>
        <v/>
      </c>
      <c r="F137">
        <f>IF('Cost lines'!$A$17="","",'Cost lines'!$A$17)</f>
        <v/>
      </c>
      <c r="G137">
        <f>IF('Machines and sensors'!$A$97="","",'Machines and sensors'!$A$97)</f>
        <v/>
      </c>
      <c r="H137">
        <f>IF('Runs'!$A$137="","",'Runs'!$A$137)</f>
        <v/>
      </c>
    </row>
    <row r="138">
      <c r="A138">
        <f>IF('Machines and sensors'!$A$58="","",'Machines and sensors'!$A$58)</f>
        <v/>
      </c>
      <c r="F138">
        <f>IF('Cost lines'!$A$18="","",'Cost lines'!$A$18)</f>
        <v/>
      </c>
      <c r="G138">
        <f>IF('Machines and sensors'!$A$98="","",'Machines and sensors'!$A$98)</f>
        <v/>
      </c>
      <c r="H138">
        <f>IF('Runs'!$A$138="","",'Runs'!$A$138)</f>
        <v/>
      </c>
    </row>
    <row r="139">
      <c r="A139">
        <f>IF('Machines and sensors'!$A$59="","",'Machines and sensors'!$A$59)</f>
        <v/>
      </c>
      <c r="F139">
        <f>IF('Cost lines'!$A$19="","",'Cost lines'!$A$19)</f>
        <v/>
      </c>
      <c r="G139">
        <f>IF('Machines and sensors'!$A$99="","",'Machines and sensors'!$A$99)</f>
        <v/>
      </c>
      <c r="H139">
        <f>IF('Runs'!$A$139="","",'Runs'!$A$139)</f>
        <v/>
      </c>
    </row>
    <row r="140">
      <c r="A140">
        <f>IF('Machines and sensors'!$A$60="","",'Machines and sensors'!$A$60)</f>
        <v/>
      </c>
      <c r="F140">
        <f>IF('Cost lines'!$A$20="","",'Cost lines'!$A$20)</f>
        <v/>
      </c>
      <c r="G140">
        <f>IF('Machines and sensors'!$A$100="","",'Machines and sensors'!$A$100)</f>
        <v/>
      </c>
      <c r="H140">
        <f>IF('Runs'!$A$140="","",'Runs'!$A$140)</f>
        <v/>
      </c>
    </row>
    <row r="141">
      <c r="A141">
        <f>IF('Machines and sensors'!$A$61="","",'Machines and sensors'!$A$61)</f>
        <v/>
      </c>
      <c r="F141">
        <f>IF('Cost lines'!$A$21="","",'Cost lines'!$A$21)</f>
        <v/>
      </c>
      <c r="G141">
        <f>IF('Machines and sensors'!$A$101="","",'Machines and sensors'!$A$101)</f>
        <v/>
      </c>
      <c r="H141">
        <f>IF('Runs'!$A$141="","",'Runs'!$A$141)</f>
        <v/>
      </c>
    </row>
    <row r="142">
      <c r="A142">
        <f>IF('Machines and sensors'!$A$62="","",'Machines and sensors'!$A$62)</f>
        <v/>
      </c>
      <c r="F142">
        <f>IF('Cost lines'!$A$22="","",'Cost lines'!$A$22)</f>
        <v/>
      </c>
      <c r="G142">
        <f>IF('Machines and sensors'!$A$102="","",'Machines and sensors'!$A$102)</f>
        <v/>
      </c>
      <c r="H142">
        <f>IF('Runs'!$A$142="","",'Runs'!$A$142)</f>
        <v/>
      </c>
    </row>
    <row r="143">
      <c r="A143">
        <f>IF('Machines and sensors'!$A$63="","",'Machines and sensors'!$A$63)</f>
        <v/>
      </c>
      <c r="F143">
        <f>IF('Cost lines'!$A$23="","",'Cost lines'!$A$23)</f>
        <v/>
      </c>
      <c r="G143">
        <f>IF('Machines and sensors'!$A$103="","",'Machines and sensors'!$A$103)</f>
        <v/>
      </c>
      <c r="H143">
        <f>IF('Runs'!$A$143="","",'Runs'!$A$143)</f>
        <v/>
      </c>
    </row>
    <row r="144">
      <c r="A144">
        <f>IF('Machines and sensors'!$A$64="","",'Machines and sensors'!$A$64)</f>
        <v/>
      </c>
      <c r="F144">
        <f>IF('Cost lines'!$A$24="","",'Cost lines'!$A$24)</f>
        <v/>
      </c>
      <c r="G144">
        <f>IF('Machines and sensors'!$A$104="","",'Machines and sensors'!$A$104)</f>
        <v/>
      </c>
      <c r="H144">
        <f>IF('Runs'!$A$144="","",'Runs'!$A$144)</f>
        <v/>
      </c>
    </row>
    <row r="145">
      <c r="A145">
        <f>IF('Machines and sensors'!$A$65="","",'Machines and sensors'!$A$65)</f>
        <v/>
      </c>
      <c r="F145">
        <f>IF('Cost lines'!$A$25="","",'Cost lines'!$A$25)</f>
        <v/>
      </c>
      <c r="G145">
        <f>IF('Machines and sensors'!$A$105="","",'Machines and sensors'!$A$105)</f>
        <v/>
      </c>
      <c r="H145">
        <f>IF('Runs'!$A$145="","",'Runs'!$A$145)</f>
        <v/>
      </c>
    </row>
    <row r="146">
      <c r="A146">
        <f>IF('Machines and sensors'!$A$66="","",'Machines and sensors'!$A$66)</f>
        <v/>
      </c>
      <c r="F146">
        <f>IF('Cost lines'!$A$26="","",'Cost lines'!$A$26)</f>
        <v/>
      </c>
      <c r="G146">
        <f>IF('Machines and sensors'!$A$106="","",'Machines and sensors'!$A$106)</f>
        <v/>
      </c>
      <c r="H146">
        <f>IF('Runs'!$A$146="","",'Runs'!$A$146)</f>
        <v/>
      </c>
    </row>
    <row r="147">
      <c r="A147">
        <f>IF('Machines and sensors'!$A$67="","",'Machines and sensors'!$A$67)</f>
        <v/>
      </c>
      <c r="F147">
        <f>IF('Cost lines'!$A$27="","",'Cost lines'!$A$27)</f>
        <v/>
      </c>
      <c r="G147">
        <f>IF('Machines and sensors'!$A$107="","",'Machines and sensors'!$A$107)</f>
        <v/>
      </c>
      <c r="H147">
        <f>IF('Runs'!$A$147="","",'Runs'!$A$147)</f>
        <v/>
      </c>
    </row>
    <row r="148">
      <c r="A148">
        <f>IF('Machines and sensors'!$A$68="","",'Machines and sensors'!$A$68)</f>
        <v/>
      </c>
      <c r="F148">
        <f>IF('Cost lines'!$A$28="","",'Cost lines'!$A$28)</f>
        <v/>
      </c>
      <c r="G148">
        <f>IF('Machines and sensors'!$A$108="","",'Machines and sensors'!$A$108)</f>
        <v/>
      </c>
      <c r="H148">
        <f>IF('Runs'!$A$148="","",'Runs'!$A$148)</f>
        <v/>
      </c>
    </row>
    <row r="149">
      <c r="A149">
        <f>IF('Machines and sensors'!$A$69="","",'Machines and sensors'!$A$69)</f>
        <v/>
      </c>
      <c r="F149">
        <f>IF('Cost lines'!$A$29="","",'Cost lines'!$A$29)</f>
        <v/>
      </c>
      <c r="G149">
        <f>IF('Machines and sensors'!$A$109="","",'Machines and sensors'!$A$109)</f>
        <v/>
      </c>
      <c r="H149">
        <f>IF('Runs'!$A$149="","",'Runs'!$A$149)</f>
        <v/>
      </c>
    </row>
    <row r="150">
      <c r="A150">
        <f>IF('Machines and sensors'!$A$70="","",'Machines and sensors'!$A$70)</f>
        <v/>
      </c>
      <c r="F150">
        <f>IF('Cost lines'!$A$30="","",'Cost lines'!$A$30)</f>
        <v/>
      </c>
      <c r="G150">
        <f>IF('Machines and sensors'!$A$110="","",'Machines and sensors'!$A$110)</f>
        <v/>
      </c>
      <c r="H150">
        <f>IF('Runs'!$A$150="","",'Runs'!$A$150)</f>
        <v/>
      </c>
    </row>
    <row r="151">
      <c r="A151">
        <f>IF('Machines and sensors'!$A$71="","",'Machines and sensors'!$A$71)</f>
        <v/>
      </c>
      <c r="F151">
        <f>IF('Cost lines'!$A$31="","",'Cost lines'!$A$31)</f>
        <v/>
      </c>
      <c r="G151">
        <f>IF('Machines and sensors'!$A$111="","",'Machines and sensors'!$A$111)</f>
        <v/>
      </c>
      <c r="H151">
        <f>IF('Runs'!$A$151="","",'Runs'!$A$151)</f>
        <v/>
      </c>
    </row>
    <row r="152">
      <c r="A152">
        <f>IF('Machines and sensors'!$A$72="","",'Machines and sensors'!$A$72)</f>
        <v/>
      </c>
      <c r="F152">
        <f>IF('Cost lines'!$A$32="","",'Cost lines'!$A$32)</f>
        <v/>
      </c>
      <c r="G152">
        <f>IF('Machines and sensors'!$A$112="","",'Machines and sensors'!$A$112)</f>
        <v/>
      </c>
      <c r="H152">
        <f>IF('Runs'!$A$152="","",'Runs'!$A$152)</f>
        <v/>
      </c>
    </row>
    <row r="153">
      <c r="A153">
        <f>IF('Machines and sensors'!$A$73="","",'Machines and sensors'!$A$73)</f>
        <v/>
      </c>
      <c r="F153">
        <f>IF('Cost lines'!$A$33="","",'Cost lines'!$A$33)</f>
        <v/>
      </c>
      <c r="G153">
        <f>IF('Machines and sensors'!$A$113="","",'Machines and sensors'!$A$113)</f>
        <v/>
      </c>
      <c r="H153">
        <f>IF('Runs'!$A$153="","",'Runs'!$A$153)</f>
        <v/>
      </c>
    </row>
    <row r="154">
      <c r="A154">
        <f>IF('Machines and sensors'!$A$74="","",'Machines and sensors'!$A$74)</f>
        <v/>
      </c>
      <c r="F154">
        <f>IF('Cost lines'!$A$34="","",'Cost lines'!$A$34)</f>
        <v/>
      </c>
      <c r="G154">
        <f>IF('Machines and sensors'!$A$114="","",'Machines and sensors'!$A$114)</f>
        <v/>
      </c>
      <c r="H154">
        <f>IF('Runs'!$A$154="","",'Runs'!$A$154)</f>
        <v/>
      </c>
    </row>
    <row r="155">
      <c r="A155">
        <f>IF('Machines and sensors'!$A$75="","",'Machines and sensors'!$A$75)</f>
        <v/>
      </c>
      <c r="F155">
        <f>IF('Cost lines'!$A$35="","",'Cost lines'!$A$35)</f>
        <v/>
      </c>
      <c r="G155">
        <f>IF('Machines and sensors'!$A$115="","",'Machines and sensors'!$A$115)</f>
        <v/>
      </c>
      <c r="H155">
        <f>IF('Runs'!$A$155="","",'Runs'!$A$155)</f>
        <v/>
      </c>
    </row>
    <row r="156">
      <c r="A156">
        <f>IF('Machines and sensors'!$A$76="","",'Machines and sensors'!$A$76)</f>
        <v/>
      </c>
      <c r="F156">
        <f>IF('Cost lines'!$A$36="","",'Cost lines'!$A$36)</f>
        <v/>
      </c>
      <c r="G156">
        <f>IF('Machines and sensors'!$A$116="","",'Machines and sensors'!$A$116)</f>
        <v/>
      </c>
      <c r="H156">
        <f>IF('Runs'!$A$156="","",'Runs'!$A$156)</f>
        <v/>
      </c>
    </row>
    <row r="157">
      <c r="A157">
        <f>IF('Machines and sensors'!$A$77="","",'Machines and sensors'!$A$77)</f>
        <v/>
      </c>
      <c r="F157">
        <f>IF('Cost lines'!$A$37="","",'Cost lines'!$A$37)</f>
        <v/>
      </c>
      <c r="G157">
        <f>IF('Machines and sensors'!$A$117="","",'Machines and sensors'!$A$117)</f>
        <v/>
      </c>
      <c r="H157">
        <f>IF('Runs'!$A$157="","",'Runs'!$A$157)</f>
        <v/>
      </c>
    </row>
    <row r="158">
      <c r="A158">
        <f>IF('Machines and sensors'!$A$78="","",'Machines and sensors'!$A$78)</f>
        <v/>
      </c>
      <c r="F158">
        <f>IF('Cost lines'!$A$38="","",'Cost lines'!$A$38)</f>
        <v/>
      </c>
      <c r="G158">
        <f>IF('Machines and sensors'!$A$118="","",'Machines and sensors'!$A$118)</f>
        <v/>
      </c>
      <c r="H158">
        <f>IF('Runs'!$A$158="","",'Runs'!$A$158)</f>
        <v/>
      </c>
    </row>
    <row r="159">
      <c r="A159">
        <f>IF('Machines and sensors'!$A$79="","",'Machines and sensors'!$A$79)</f>
        <v/>
      </c>
      <c r="F159">
        <f>IF('Cost lines'!$A$39="","",'Cost lines'!$A$39)</f>
        <v/>
      </c>
      <c r="G159">
        <f>IF('Machines and sensors'!$A$119="","",'Machines and sensors'!$A$119)</f>
        <v/>
      </c>
      <c r="H159">
        <f>IF('Runs'!$A$159="","",'Runs'!$A$159)</f>
        <v/>
      </c>
    </row>
    <row r="160">
      <c r="A160">
        <f>IF('Machines and sensors'!$A$80="","",'Machines and sensors'!$A$80)</f>
        <v/>
      </c>
      <c r="F160">
        <f>IF('Cost lines'!$A$40="","",'Cost lines'!$A$40)</f>
        <v/>
      </c>
      <c r="G160">
        <f>IF('Machines and sensors'!$A$120="","",'Machines and sensors'!$A$120)</f>
        <v/>
      </c>
      <c r="H160">
        <f>IF('Runs'!$A$160="","",'Runs'!$A$160)</f>
        <v/>
      </c>
    </row>
    <row r="161">
      <c r="A161">
        <f>IF('Machines and sensors'!$A$81="","",'Machines and sensors'!$A$81)</f>
        <v/>
      </c>
      <c r="F161">
        <f>IF('Cost lines'!$A$41="","",'Cost lines'!$A$41)</f>
        <v/>
      </c>
      <c r="G161">
        <f>IF('Machines and sensors'!$A$121="","",'Machines and sensors'!$A$121)</f>
        <v/>
      </c>
      <c r="H161">
        <f>IF('Runs'!$A$161="","",'Runs'!$A$161)</f>
        <v/>
      </c>
    </row>
    <row r="162">
      <c r="A162">
        <f>IF('Machines and sensors'!$A$82="","",'Machines and sensors'!$A$82)</f>
        <v/>
      </c>
      <c r="F162">
        <f>IF('Cost lines'!$A$42="","",'Cost lines'!$A$42)</f>
        <v/>
      </c>
      <c r="G162">
        <f>IF('Machines and sensors'!$A$122="","",'Machines and sensors'!$A$122)</f>
        <v/>
      </c>
      <c r="H162">
        <f>IF('Runs'!$A$162="","",'Runs'!$A$162)</f>
        <v/>
      </c>
    </row>
    <row r="163">
      <c r="A163">
        <f>IF('Machines and sensors'!$A$83="","",'Machines and sensors'!$A$83)</f>
        <v/>
      </c>
      <c r="F163">
        <f>IF('Cost lines'!$A$43="","",'Cost lines'!$A$43)</f>
        <v/>
      </c>
      <c r="G163">
        <f>IF('Machines and sensors'!$A$123="","",'Machines and sensors'!$A$123)</f>
        <v/>
      </c>
      <c r="H163">
        <f>IF('Runs'!$A$163="","",'Runs'!$A$163)</f>
        <v/>
      </c>
    </row>
    <row r="164">
      <c r="A164">
        <f>IF('Machines and sensors'!$A$84="","",'Machines and sensors'!$A$84)</f>
        <v/>
      </c>
      <c r="F164">
        <f>IF('Crews'!$A$4="","",'Crews'!$A$4)</f>
        <v/>
      </c>
      <c r="G164">
        <f>IF('Tanks and silos'!$A$4="","",'Tanks and silos'!$A$4)</f>
        <v/>
      </c>
      <c r="H164">
        <f>IF('Runs'!$A$164="","",'Runs'!$A$164)</f>
        <v/>
      </c>
    </row>
    <row r="165">
      <c r="A165">
        <f>IF('Machines and sensors'!$A$85="","",'Machines and sensors'!$A$85)</f>
        <v/>
      </c>
      <c r="F165">
        <f>IF('Crews'!$A$5="","",'Crews'!$A$5)</f>
        <v/>
      </c>
      <c r="G165">
        <f>IF('Tanks and silos'!$A$5="","",'Tanks and silos'!$A$5)</f>
        <v/>
      </c>
      <c r="H165">
        <f>IF('Runs'!$A$165="","",'Runs'!$A$165)</f>
        <v/>
      </c>
    </row>
    <row r="166">
      <c r="A166">
        <f>IF('Machines and sensors'!$A$86="","",'Machines and sensors'!$A$86)</f>
        <v/>
      </c>
      <c r="F166">
        <f>IF('Crews'!$A$6="","",'Crews'!$A$6)</f>
        <v/>
      </c>
      <c r="G166">
        <f>IF('Tanks and silos'!$A$6="","",'Tanks and silos'!$A$6)</f>
        <v/>
      </c>
      <c r="H166">
        <f>IF('Runs'!$A$166="","",'Runs'!$A$166)</f>
        <v/>
      </c>
    </row>
    <row r="167">
      <c r="A167">
        <f>IF('Machines and sensors'!$A$87="","",'Machines and sensors'!$A$87)</f>
        <v/>
      </c>
      <c r="F167">
        <f>IF('Crews'!$A$7="","",'Crews'!$A$7)</f>
        <v/>
      </c>
      <c r="G167">
        <f>IF('Tanks and silos'!$A$7="","",'Tanks and silos'!$A$7)</f>
        <v/>
      </c>
      <c r="H167">
        <f>IF('Runs'!$A$167="","",'Runs'!$A$167)</f>
        <v/>
      </c>
    </row>
    <row r="168">
      <c r="A168">
        <f>IF('Machines and sensors'!$A$88="","",'Machines and sensors'!$A$88)</f>
        <v/>
      </c>
      <c r="F168">
        <f>IF('Crews'!$A$8="","",'Crews'!$A$8)</f>
        <v/>
      </c>
      <c r="G168">
        <f>IF('Tanks and silos'!$A$8="","",'Tanks and silos'!$A$8)</f>
        <v/>
      </c>
      <c r="H168">
        <f>IF('Runs'!$A$168="","",'Runs'!$A$168)</f>
        <v/>
      </c>
    </row>
    <row r="169">
      <c r="A169">
        <f>IF('Machines and sensors'!$A$89="","",'Machines and sensors'!$A$89)</f>
        <v/>
      </c>
      <c r="F169">
        <f>IF('Crews'!$A$9="","",'Crews'!$A$9)</f>
        <v/>
      </c>
      <c r="G169">
        <f>IF('Tanks and silos'!$A$9="","",'Tanks and silos'!$A$9)</f>
        <v/>
      </c>
      <c r="H169">
        <f>IF('Runs'!$A$169="","",'Runs'!$A$169)</f>
        <v/>
      </c>
    </row>
    <row r="170">
      <c r="A170">
        <f>IF('Machines and sensors'!$A$90="","",'Machines and sensors'!$A$90)</f>
        <v/>
      </c>
      <c r="F170">
        <f>IF('Crews'!$A$10="","",'Crews'!$A$10)</f>
        <v/>
      </c>
      <c r="G170">
        <f>IF('Tanks and silos'!$A$10="","",'Tanks and silos'!$A$10)</f>
        <v/>
      </c>
      <c r="H170">
        <f>IF('Runs'!$A$170="","",'Runs'!$A$170)</f>
        <v/>
      </c>
    </row>
    <row r="171">
      <c r="A171">
        <f>IF('Machines and sensors'!$A$91="","",'Machines and sensors'!$A$91)</f>
        <v/>
      </c>
      <c r="F171">
        <f>IF('Crews'!$A$11="","",'Crews'!$A$11)</f>
        <v/>
      </c>
      <c r="G171">
        <f>IF('Tanks and silos'!$A$11="","",'Tanks and silos'!$A$11)</f>
        <v/>
      </c>
      <c r="H171">
        <f>IF('Runs'!$A$171="","",'Runs'!$A$171)</f>
        <v/>
      </c>
    </row>
    <row r="172">
      <c r="A172">
        <f>IF('Machines and sensors'!$A$92="","",'Machines and sensors'!$A$92)</f>
        <v/>
      </c>
      <c r="F172">
        <f>IF('Crews'!$A$12="","",'Crews'!$A$12)</f>
        <v/>
      </c>
      <c r="G172">
        <f>IF('Tanks and silos'!$A$12="","",'Tanks and silos'!$A$12)</f>
        <v/>
      </c>
      <c r="H172">
        <f>IF('Runs'!$A$172="","",'Runs'!$A$172)</f>
        <v/>
      </c>
    </row>
    <row r="173">
      <c r="A173">
        <f>IF('Machines and sensors'!$A$93="","",'Machines and sensors'!$A$93)</f>
        <v/>
      </c>
      <c r="F173">
        <f>IF('Crews'!$A$13="","",'Crews'!$A$13)</f>
        <v/>
      </c>
      <c r="G173">
        <f>IF('Tanks and silos'!$A$13="","",'Tanks and silos'!$A$13)</f>
        <v/>
      </c>
      <c r="H173">
        <f>IF('Runs'!$A$173="","",'Runs'!$A$173)</f>
        <v/>
      </c>
    </row>
    <row r="174">
      <c r="A174">
        <f>IF('Machines and sensors'!$A$94="","",'Machines and sensors'!$A$94)</f>
        <v/>
      </c>
      <c r="F174">
        <f>IF('Crews'!$A$14="","",'Crews'!$A$14)</f>
        <v/>
      </c>
      <c r="G174">
        <f>IF('Tanks and silos'!$A$14="","",'Tanks and silos'!$A$14)</f>
        <v/>
      </c>
      <c r="H174">
        <f>IF('Runs'!$A$174="","",'Runs'!$A$174)</f>
        <v/>
      </c>
    </row>
    <row r="175">
      <c r="A175">
        <f>IF('Machines and sensors'!$A$95="","",'Machines and sensors'!$A$95)</f>
        <v/>
      </c>
      <c r="F175">
        <f>IF('Crews'!$A$15="","",'Crews'!$A$15)</f>
        <v/>
      </c>
      <c r="G175">
        <f>IF('Tanks and silos'!$A$15="","",'Tanks and silos'!$A$15)</f>
        <v/>
      </c>
      <c r="H175">
        <f>IF('Runs'!$A$175="","",'Runs'!$A$175)</f>
        <v/>
      </c>
    </row>
    <row r="176">
      <c r="A176">
        <f>IF('Machines and sensors'!$A$96="","",'Machines and sensors'!$A$96)</f>
        <v/>
      </c>
      <c r="F176">
        <f>IF('Crews'!$A$16="","",'Crews'!$A$16)</f>
        <v/>
      </c>
      <c r="G176">
        <f>IF('Tanks and silos'!$A$16="","",'Tanks and silos'!$A$16)</f>
        <v/>
      </c>
      <c r="H176">
        <f>IF('Runs'!$A$176="","",'Runs'!$A$176)</f>
        <v/>
      </c>
    </row>
    <row r="177">
      <c r="A177">
        <f>IF('Machines and sensors'!$A$97="","",'Machines and sensors'!$A$97)</f>
        <v/>
      </c>
      <c r="F177">
        <f>IF('Crews'!$A$17="","",'Crews'!$A$17)</f>
        <v/>
      </c>
      <c r="G177">
        <f>IF('Tanks and silos'!$A$17="","",'Tanks and silos'!$A$17)</f>
        <v/>
      </c>
      <c r="H177">
        <f>IF('Runs'!$A$177="","",'Runs'!$A$177)</f>
        <v/>
      </c>
    </row>
    <row r="178">
      <c r="A178">
        <f>IF('Machines and sensors'!$A$98="","",'Machines and sensors'!$A$98)</f>
        <v/>
      </c>
      <c r="F178">
        <f>IF('Crews'!$A$18="","",'Crews'!$A$18)</f>
        <v/>
      </c>
      <c r="G178">
        <f>IF('Tanks and silos'!$A$18="","",'Tanks and silos'!$A$18)</f>
        <v/>
      </c>
      <c r="H178">
        <f>IF('Runs'!$A$178="","",'Runs'!$A$178)</f>
        <v/>
      </c>
    </row>
    <row r="179">
      <c r="A179">
        <f>IF('Machines and sensors'!$A$99="","",'Machines and sensors'!$A$99)</f>
        <v/>
      </c>
      <c r="F179">
        <f>IF('Crews'!$A$19="","",'Crews'!$A$19)</f>
        <v/>
      </c>
      <c r="G179">
        <f>IF('Tanks and silos'!$A$19="","",'Tanks and silos'!$A$19)</f>
        <v/>
      </c>
      <c r="H179">
        <f>IF('Runs'!$A$179="","",'Runs'!$A$179)</f>
        <v/>
      </c>
    </row>
    <row r="180">
      <c r="A180">
        <f>IF('Machines and sensors'!$A$100="","",'Machines and sensors'!$A$100)</f>
        <v/>
      </c>
      <c r="F180">
        <f>IF('Crews'!$A$20="","",'Crews'!$A$20)</f>
        <v/>
      </c>
      <c r="G180">
        <f>IF('Tanks and silos'!$A$20="","",'Tanks and silos'!$A$20)</f>
        <v/>
      </c>
      <c r="H180">
        <f>IF('Runs'!$A$180="","",'Runs'!$A$180)</f>
        <v/>
      </c>
    </row>
    <row r="181">
      <c r="A181">
        <f>IF('Machines and sensors'!$A$101="","",'Machines and sensors'!$A$101)</f>
        <v/>
      </c>
      <c r="F181">
        <f>IF('Crews'!$A$21="","",'Crews'!$A$21)</f>
        <v/>
      </c>
      <c r="G181">
        <f>IF('Tanks and silos'!$A$21="","",'Tanks and silos'!$A$21)</f>
        <v/>
      </c>
      <c r="H181">
        <f>IF('Runs'!$A$181="","",'Runs'!$A$181)</f>
        <v/>
      </c>
    </row>
    <row r="182">
      <c r="A182">
        <f>IF('Machines and sensors'!$A$102="","",'Machines and sensors'!$A$102)</f>
        <v/>
      </c>
      <c r="F182">
        <f>IF('Crews'!$A$22="","",'Crews'!$A$22)</f>
        <v/>
      </c>
      <c r="G182">
        <f>IF('Tanks and silos'!$A$22="","",'Tanks and silos'!$A$22)</f>
        <v/>
      </c>
      <c r="H182">
        <f>IF('Runs'!$A$182="","",'Runs'!$A$182)</f>
        <v/>
      </c>
    </row>
    <row r="183">
      <c r="A183">
        <f>IF('Machines and sensors'!$A$103="","",'Machines and sensors'!$A$103)</f>
        <v/>
      </c>
      <c r="F183">
        <f>IF('Crews'!$A$23="","",'Crews'!$A$23)</f>
        <v/>
      </c>
      <c r="G183">
        <f>IF('Tanks and silos'!$A$23="","",'Tanks and silos'!$A$23)</f>
        <v/>
      </c>
      <c r="H183">
        <f>IF('Runs'!$A$183="","",'Runs'!$A$183)</f>
        <v/>
      </c>
    </row>
    <row r="184">
      <c r="A184">
        <f>IF('Machines and sensors'!$A$104="","",'Machines and sensors'!$A$104)</f>
        <v/>
      </c>
      <c r="F184">
        <f>IF('Machines and sensors'!$A$4="","",'Machines and sensors'!$A$4)</f>
        <v/>
      </c>
      <c r="G184">
        <f>IF('Tanks and silos'!$A$24="","",'Tanks and silos'!$A$24)</f>
        <v/>
      </c>
      <c r="H184">
        <f>IF('Runs'!$A$184="","",'Runs'!$A$184)</f>
        <v/>
      </c>
    </row>
    <row r="185">
      <c r="A185">
        <f>IF('Machines and sensors'!$A$105="","",'Machines and sensors'!$A$105)</f>
        <v/>
      </c>
      <c r="F185">
        <f>IF('Machines and sensors'!$A$5="","",'Machines and sensors'!$A$5)</f>
        <v/>
      </c>
      <c r="G185">
        <f>IF('Tanks and silos'!$A$25="","",'Tanks and silos'!$A$25)</f>
        <v/>
      </c>
      <c r="H185">
        <f>IF('Runs'!$A$185="","",'Runs'!$A$185)</f>
        <v/>
      </c>
    </row>
    <row r="186">
      <c r="A186">
        <f>IF('Machines and sensors'!$A$106="","",'Machines and sensors'!$A$106)</f>
        <v/>
      </c>
      <c r="F186">
        <f>IF('Machines and sensors'!$A$6="","",'Machines and sensors'!$A$6)</f>
        <v/>
      </c>
      <c r="G186">
        <f>IF('Tanks and silos'!$A$26="","",'Tanks and silos'!$A$26)</f>
        <v/>
      </c>
      <c r="H186">
        <f>IF('Runs'!$A$186="","",'Runs'!$A$186)</f>
        <v/>
      </c>
    </row>
    <row r="187">
      <c r="A187">
        <f>IF('Machines and sensors'!$A$107="","",'Machines and sensors'!$A$107)</f>
        <v/>
      </c>
      <c r="F187">
        <f>IF('Machines and sensors'!$A$7="","",'Machines and sensors'!$A$7)</f>
        <v/>
      </c>
      <c r="G187">
        <f>IF('Tanks and silos'!$A$27="","",'Tanks and silos'!$A$27)</f>
        <v/>
      </c>
      <c r="H187">
        <f>IF('Runs'!$A$187="","",'Runs'!$A$187)</f>
        <v/>
      </c>
    </row>
    <row r="188">
      <c r="A188">
        <f>IF('Machines and sensors'!$A$108="","",'Machines and sensors'!$A$108)</f>
        <v/>
      </c>
      <c r="F188">
        <f>IF('Machines and sensors'!$A$8="","",'Machines and sensors'!$A$8)</f>
        <v/>
      </c>
      <c r="G188">
        <f>IF('Tanks and silos'!$A$28="","",'Tanks and silos'!$A$28)</f>
        <v/>
      </c>
      <c r="H188">
        <f>IF('Runs'!$A$188="","",'Runs'!$A$188)</f>
        <v/>
      </c>
    </row>
    <row r="189">
      <c r="A189">
        <f>IF('Machines and sensors'!$A$109="","",'Machines and sensors'!$A$109)</f>
        <v/>
      </c>
      <c r="F189">
        <f>IF('Machines and sensors'!$A$9="","",'Machines and sensors'!$A$9)</f>
        <v/>
      </c>
      <c r="G189">
        <f>IF('Tanks and silos'!$A$29="","",'Tanks and silos'!$A$29)</f>
        <v/>
      </c>
      <c r="H189">
        <f>IF('Runs'!$A$189="","",'Runs'!$A$189)</f>
        <v/>
      </c>
    </row>
    <row r="190">
      <c r="A190">
        <f>IF('Machines and sensors'!$A$110="","",'Machines and sensors'!$A$110)</f>
        <v/>
      </c>
      <c r="F190">
        <f>IF('Machines and sensors'!$A$10="","",'Machines and sensors'!$A$10)</f>
        <v/>
      </c>
      <c r="G190">
        <f>IF('Tanks and silos'!$A$30="","",'Tanks and silos'!$A$30)</f>
        <v/>
      </c>
      <c r="H190">
        <f>IF('Runs'!$A$190="","",'Runs'!$A$190)</f>
        <v/>
      </c>
    </row>
    <row r="191">
      <c r="A191">
        <f>IF('Machines and sensors'!$A$111="","",'Machines and sensors'!$A$111)</f>
        <v/>
      </c>
      <c r="F191">
        <f>IF('Machines and sensors'!$A$11="","",'Machines and sensors'!$A$11)</f>
        <v/>
      </c>
      <c r="G191">
        <f>IF('Tanks and silos'!$A$31="","",'Tanks and silos'!$A$31)</f>
        <v/>
      </c>
      <c r="H191">
        <f>IF('Runs'!$A$191="","",'Runs'!$A$191)</f>
        <v/>
      </c>
    </row>
    <row r="192">
      <c r="A192">
        <f>IF('Machines and sensors'!$A$112="","",'Machines and sensors'!$A$112)</f>
        <v/>
      </c>
      <c r="F192">
        <f>IF('Machines and sensors'!$A$12="","",'Machines and sensors'!$A$12)</f>
        <v/>
      </c>
      <c r="G192">
        <f>IF('Tanks and silos'!$A$32="","",'Tanks and silos'!$A$32)</f>
        <v/>
      </c>
      <c r="H192">
        <f>IF('Runs'!$A$192="","",'Runs'!$A$192)</f>
        <v/>
      </c>
    </row>
    <row r="193">
      <c r="A193">
        <f>IF('Machines and sensors'!$A$113="","",'Machines and sensors'!$A$113)</f>
        <v/>
      </c>
      <c r="F193">
        <f>IF('Machines and sensors'!$A$13="","",'Machines and sensors'!$A$13)</f>
        <v/>
      </c>
      <c r="G193">
        <f>IF('Tanks and silos'!$A$33="","",'Tanks and silos'!$A$33)</f>
        <v/>
      </c>
      <c r="H193">
        <f>IF('Runs'!$A$193="","",'Runs'!$A$193)</f>
        <v/>
      </c>
    </row>
    <row r="194">
      <c r="A194">
        <f>IF('Machines and sensors'!$A$114="","",'Machines and sensors'!$A$114)</f>
        <v/>
      </c>
      <c r="F194">
        <f>IF('Machines and sensors'!$A$14="","",'Machines and sensors'!$A$14)</f>
        <v/>
      </c>
      <c r="G194">
        <f>IF('Tanks and silos'!$A$34="","",'Tanks and silos'!$A$34)</f>
        <v/>
      </c>
      <c r="H194">
        <f>IF('Runs'!$A$194="","",'Runs'!$A$194)</f>
        <v/>
      </c>
    </row>
    <row r="195">
      <c r="A195">
        <f>IF('Machines and sensors'!$A$115="","",'Machines and sensors'!$A$115)</f>
        <v/>
      </c>
      <c r="F195">
        <f>IF('Machines and sensors'!$A$15="","",'Machines and sensors'!$A$15)</f>
        <v/>
      </c>
      <c r="G195">
        <f>IF('Tanks and silos'!$A$35="","",'Tanks and silos'!$A$35)</f>
        <v/>
      </c>
      <c r="H195">
        <f>IF('Runs'!$A$195="","",'Runs'!$A$195)</f>
        <v/>
      </c>
    </row>
    <row r="196">
      <c r="A196">
        <f>IF('Machines and sensors'!$A$116="","",'Machines and sensors'!$A$116)</f>
        <v/>
      </c>
      <c r="F196">
        <f>IF('Machines and sensors'!$A$16="","",'Machines and sensors'!$A$16)</f>
        <v/>
      </c>
      <c r="G196">
        <f>IF('Tanks and silos'!$A$36="","",'Tanks and silos'!$A$36)</f>
        <v/>
      </c>
      <c r="H196">
        <f>IF('Runs'!$A$196="","",'Runs'!$A$196)</f>
        <v/>
      </c>
    </row>
    <row r="197">
      <c r="A197">
        <f>IF('Machines and sensors'!$A$117="","",'Machines and sensors'!$A$117)</f>
        <v/>
      </c>
      <c r="F197">
        <f>IF('Machines and sensors'!$A$17="","",'Machines and sensors'!$A$17)</f>
        <v/>
      </c>
      <c r="G197">
        <f>IF('Tanks and silos'!$A$37="","",'Tanks and silos'!$A$37)</f>
        <v/>
      </c>
      <c r="H197">
        <f>IF('Runs'!$A$197="","",'Runs'!$A$197)</f>
        <v/>
      </c>
    </row>
    <row r="198">
      <c r="A198">
        <f>IF('Machines and sensors'!$A$118="","",'Machines and sensors'!$A$118)</f>
        <v/>
      </c>
      <c r="F198">
        <f>IF('Machines and sensors'!$A$18="","",'Machines and sensors'!$A$18)</f>
        <v/>
      </c>
      <c r="G198">
        <f>IF('Tanks and silos'!$A$38="","",'Tanks and silos'!$A$38)</f>
        <v/>
      </c>
      <c r="H198">
        <f>IF('Runs'!$A$198="","",'Runs'!$A$198)</f>
        <v/>
      </c>
    </row>
    <row r="199">
      <c r="A199">
        <f>IF('Machines and sensors'!$A$119="","",'Machines and sensors'!$A$119)</f>
        <v/>
      </c>
      <c r="F199">
        <f>IF('Machines and sensors'!$A$19="","",'Machines and sensors'!$A$19)</f>
        <v/>
      </c>
      <c r="G199">
        <f>IF('Tanks and silos'!$A$39="","",'Tanks and silos'!$A$39)</f>
        <v/>
      </c>
      <c r="H199">
        <f>IF('Runs'!$A$199="","",'Runs'!$A$199)</f>
        <v/>
      </c>
    </row>
    <row r="200">
      <c r="A200">
        <f>IF('Machines and sensors'!$A$120="","",'Machines and sensors'!$A$120)</f>
        <v/>
      </c>
      <c r="F200">
        <f>IF('Machines and sensors'!$A$20="","",'Machines and sensors'!$A$20)</f>
        <v/>
      </c>
      <c r="G200">
        <f>IF('Tanks and silos'!$A$40="","",'Tanks and silos'!$A$40)</f>
        <v/>
      </c>
      <c r="H200">
        <f>IF('Runs'!$A$200="","",'Runs'!$A$200)</f>
        <v/>
      </c>
    </row>
    <row r="201">
      <c r="A201">
        <f>IF('Machines and sensors'!$A$121="","",'Machines and sensors'!$A$121)</f>
        <v/>
      </c>
      <c r="F201">
        <f>IF('Machines and sensors'!$A$21="","",'Machines and sensors'!$A$21)</f>
        <v/>
      </c>
      <c r="G201">
        <f>IF('Tanks and silos'!$A$41="","",'Tanks and silos'!$A$41)</f>
        <v/>
      </c>
      <c r="H201">
        <f>IF('Runs'!$A$201="","",'Runs'!$A$201)</f>
        <v/>
      </c>
    </row>
    <row r="202">
      <c r="A202">
        <f>IF('Machines and sensors'!$A$122="","",'Machines and sensors'!$A$122)</f>
        <v/>
      </c>
      <c r="F202">
        <f>IF('Machines and sensors'!$A$22="","",'Machines and sensors'!$A$22)</f>
        <v/>
      </c>
      <c r="G202">
        <f>IF('Tanks and silos'!$A$42="","",'Tanks and silos'!$A$42)</f>
        <v/>
      </c>
      <c r="H202">
        <f>IF('Runs'!$A$202="","",'Runs'!$A$202)</f>
        <v/>
      </c>
    </row>
    <row r="203">
      <c r="A203">
        <f>IF('Machines and sensors'!$A$123="","",'Machines and sensors'!$A$123)</f>
        <v/>
      </c>
      <c r="F203">
        <f>IF('Machines and sensors'!$A$23="","",'Machines and sensors'!$A$23)</f>
        <v/>
      </c>
      <c r="G203">
        <f>IF('Tanks and silos'!$A$43="","",'Tanks and silos'!$A$43)</f>
        <v/>
      </c>
      <c r="H203">
        <f>IF('Runs'!$A$203="","",'Runs'!$A$203)</f>
        <v/>
      </c>
    </row>
    <row r="204">
      <c r="A204">
        <f>IF('Machines and sensors'!$A$124="","",'Machines and sensors'!$A$124)</f>
        <v/>
      </c>
      <c r="F204">
        <f>IF('Machines and sensors'!$A$24="","",'Machines and sensors'!$A$24)</f>
        <v/>
      </c>
      <c r="G204">
        <f>IF('Runs'!$A$4="","",'Runs'!$A$4)</f>
        <v/>
      </c>
      <c r="H204">
        <f>IF('Batches'!$A$4="","",'Batches'!$A$4)</f>
        <v/>
      </c>
    </row>
    <row r="205">
      <c r="A205">
        <f>IF('Machines and sensors'!$A$125="","",'Machines and sensors'!$A$125)</f>
        <v/>
      </c>
      <c r="F205">
        <f>IF('Machines and sensors'!$A$25="","",'Machines and sensors'!$A$25)</f>
        <v/>
      </c>
      <c r="G205">
        <f>IF('Runs'!$A$5="","",'Runs'!$A$5)</f>
        <v/>
      </c>
      <c r="H205">
        <f>IF('Batches'!$A$5="","",'Batches'!$A$5)</f>
        <v/>
      </c>
    </row>
    <row r="206">
      <c r="A206">
        <f>IF('Machines and sensors'!$A$126="","",'Machines and sensors'!$A$126)</f>
        <v/>
      </c>
      <c r="F206">
        <f>IF('Machines and sensors'!$A$26="","",'Machines and sensors'!$A$26)</f>
        <v/>
      </c>
      <c r="G206">
        <f>IF('Runs'!$A$6="","",'Runs'!$A$6)</f>
        <v/>
      </c>
      <c r="H206">
        <f>IF('Batches'!$A$6="","",'Batches'!$A$6)</f>
        <v/>
      </c>
    </row>
    <row r="207">
      <c r="A207">
        <f>IF('Machines and sensors'!$A$127="","",'Machines and sensors'!$A$127)</f>
        <v/>
      </c>
      <c r="F207">
        <f>IF('Machines and sensors'!$A$27="","",'Machines and sensors'!$A$27)</f>
        <v/>
      </c>
      <c r="G207">
        <f>IF('Runs'!$A$7="","",'Runs'!$A$7)</f>
        <v/>
      </c>
      <c r="H207">
        <f>IF('Batches'!$A$7="","",'Batches'!$A$7)</f>
        <v/>
      </c>
    </row>
    <row r="208">
      <c r="A208">
        <f>IF('Machines and sensors'!$A$128="","",'Machines and sensors'!$A$128)</f>
        <v/>
      </c>
      <c r="F208">
        <f>IF('Machines and sensors'!$A$28="","",'Machines and sensors'!$A$28)</f>
        <v/>
      </c>
      <c r="G208">
        <f>IF('Runs'!$A$8="","",'Runs'!$A$8)</f>
        <v/>
      </c>
      <c r="H208">
        <f>IF('Batches'!$A$8="","",'Batches'!$A$8)</f>
        <v/>
      </c>
    </row>
    <row r="209">
      <c r="A209">
        <f>IF('Machines and sensors'!$A$129="","",'Machines and sensors'!$A$129)</f>
        <v/>
      </c>
      <c r="F209">
        <f>IF('Machines and sensors'!$A$29="","",'Machines and sensors'!$A$29)</f>
        <v/>
      </c>
      <c r="G209">
        <f>IF('Runs'!$A$9="","",'Runs'!$A$9)</f>
        <v/>
      </c>
      <c r="H209">
        <f>IF('Batches'!$A$9="","",'Batches'!$A$9)</f>
        <v/>
      </c>
    </row>
    <row r="210">
      <c r="A210">
        <f>IF('Machines and sensors'!$A$130="","",'Machines and sensors'!$A$130)</f>
        <v/>
      </c>
      <c r="F210">
        <f>IF('Machines and sensors'!$A$30="","",'Machines and sensors'!$A$30)</f>
        <v/>
      </c>
      <c r="G210">
        <f>IF('Runs'!$A$10="","",'Runs'!$A$10)</f>
        <v/>
      </c>
      <c r="H210">
        <f>IF('Batches'!$A$10="","",'Batches'!$A$10)</f>
        <v/>
      </c>
    </row>
    <row r="211">
      <c r="A211">
        <f>IF('Machines and sensors'!$A$131="","",'Machines and sensors'!$A$131)</f>
        <v/>
      </c>
      <c r="F211">
        <f>IF('Machines and sensors'!$A$31="","",'Machines and sensors'!$A$31)</f>
        <v/>
      </c>
      <c r="G211">
        <f>IF('Runs'!$A$11="","",'Runs'!$A$11)</f>
        <v/>
      </c>
      <c r="H211">
        <f>IF('Batches'!$A$11="","",'Batches'!$A$11)</f>
        <v/>
      </c>
    </row>
    <row r="212">
      <c r="A212">
        <f>IF('Machines and sensors'!$A$132="","",'Machines and sensors'!$A$132)</f>
        <v/>
      </c>
      <c r="F212">
        <f>IF('Machines and sensors'!$A$32="","",'Machines and sensors'!$A$32)</f>
        <v/>
      </c>
      <c r="G212">
        <f>IF('Runs'!$A$12="","",'Runs'!$A$12)</f>
        <v/>
      </c>
      <c r="H212">
        <f>IF('Batches'!$A$12="","",'Batches'!$A$12)</f>
        <v/>
      </c>
    </row>
    <row r="213">
      <c r="A213">
        <f>IF('Machines and sensors'!$A$133="","",'Machines and sensors'!$A$133)</f>
        <v/>
      </c>
      <c r="F213">
        <f>IF('Machines and sensors'!$A$33="","",'Machines and sensors'!$A$33)</f>
        <v/>
      </c>
      <c r="G213">
        <f>IF('Runs'!$A$13="","",'Runs'!$A$13)</f>
        <v/>
      </c>
      <c r="H213">
        <f>IF('Batches'!$A$13="","",'Batches'!$A$13)</f>
        <v/>
      </c>
    </row>
    <row r="214">
      <c r="A214">
        <f>IF('Machines and sensors'!$A$134="","",'Machines and sensors'!$A$134)</f>
        <v/>
      </c>
      <c r="F214">
        <f>IF('Machines and sensors'!$A$34="","",'Machines and sensors'!$A$34)</f>
        <v/>
      </c>
      <c r="G214">
        <f>IF('Runs'!$A$14="","",'Runs'!$A$14)</f>
        <v/>
      </c>
      <c r="H214">
        <f>IF('Batches'!$A$14="","",'Batches'!$A$14)</f>
        <v/>
      </c>
    </row>
    <row r="215">
      <c r="A215">
        <f>IF('Machines and sensors'!$A$135="","",'Machines and sensors'!$A$135)</f>
        <v/>
      </c>
      <c r="F215">
        <f>IF('Machines and sensors'!$A$35="","",'Machines and sensors'!$A$35)</f>
        <v/>
      </c>
      <c r="G215">
        <f>IF('Runs'!$A$15="","",'Runs'!$A$15)</f>
        <v/>
      </c>
      <c r="H215">
        <f>IF('Batches'!$A$15="","",'Batches'!$A$15)</f>
        <v/>
      </c>
    </row>
    <row r="216">
      <c r="A216">
        <f>IF('Machines and sensors'!$A$136="","",'Machines and sensors'!$A$136)</f>
        <v/>
      </c>
      <c r="F216">
        <f>IF('Machines and sensors'!$A$36="","",'Machines and sensors'!$A$36)</f>
        <v/>
      </c>
      <c r="G216">
        <f>IF('Runs'!$A$16="","",'Runs'!$A$16)</f>
        <v/>
      </c>
      <c r="H216">
        <f>IF('Batches'!$A$16="","",'Batches'!$A$16)</f>
        <v/>
      </c>
    </row>
    <row r="217">
      <c r="A217">
        <f>IF('Machines and sensors'!$A$137="","",'Machines and sensors'!$A$137)</f>
        <v/>
      </c>
      <c r="F217">
        <f>IF('Machines and sensors'!$A$37="","",'Machines and sensors'!$A$37)</f>
        <v/>
      </c>
      <c r="G217">
        <f>IF('Runs'!$A$17="","",'Runs'!$A$17)</f>
        <v/>
      </c>
      <c r="H217">
        <f>IF('Batches'!$A$17="","",'Batches'!$A$17)</f>
        <v/>
      </c>
    </row>
    <row r="218">
      <c r="A218">
        <f>IF('Machines and sensors'!$A$138="","",'Machines and sensors'!$A$138)</f>
        <v/>
      </c>
      <c r="F218">
        <f>IF('Machines and sensors'!$A$38="","",'Machines and sensors'!$A$38)</f>
        <v/>
      </c>
      <c r="G218">
        <f>IF('Runs'!$A$18="","",'Runs'!$A$18)</f>
        <v/>
      </c>
      <c r="H218">
        <f>IF('Batches'!$A$18="","",'Batches'!$A$18)</f>
        <v/>
      </c>
    </row>
    <row r="219">
      <c r="A219">
        <f>IF('Machines and sensors'!$A$139="","",'Machines and sensors'!$A$139)</f>
        <v/>
      </c>
      <c r="F219">
        <f>IF('Machines and sensors'!$A$39="","",'Machines and sensors'!$A$39)</f>
        <v/>
      </c>
      <c r="G219">
        <f>IF('Runs'!$A$19="","",'Runs'!$A$19)</f>
        <v/>
      </c>
      <c r="H219">
        <f>IF('Batches'!$A$19="","",'Batches'!$A$19)</f>
        <v/>
      </c>
    </row>
    <row r="220">
      <c r="A220">
        <f>IF('Machines and sensors'!$A$140="","",'Machines and sensors'!$A$140)</f>
        <v/>
      </c>
      <c r="F220">
        <f>IF('Machines and sensors'!$A$40="","",'Machines and sensors'!$A$40)</f>
        <v/>
      </c>
      <c r="G220">
        <f>IF('Runs'!$A$20="","",'Runs'!$A$20)</f>
        <v/>
      </c>
      <c r="H220">
        <f>IF('Batches'!$A$20="","",'Batches'!$A$20)</f>
        <v/>
      </c>
    </row>
    <row r="221">
      <c r="A221">
        <f>IF('Machines and sensors'!$A$141="","",'Machines and sensors'!$A$141)</f>
        <v/>
      </c>
      <c r="F221">
        <f>IF('Machines and sensors'!$A$41="","",'Machines and sensors'!$A$41)</f>
        <v/>
      </c>
      <c r="G221">
        <f>IF('Runs'!$A$21="","",'Runs'!$A$21)</f>
        <v/>
      </c>
      <c r="H221">
        <f>IF('Batches'!$A$21="","",'Batches'!$A$21)</f>
        <v/>
      </c>
    </row>
    <row r="222">
      <c r="A222">
        <f>IF('Machines and sensors'!$A$142="","",'Machines and sensors'!$A$142)</f>
        <v/>
      </c>
      <c r="F222">
        <f>IF('Machines and sensors'!$A$42="","",'Machines and sensors'!$A$42)</f>
        <v/>
      </c>
      <c r="G222">
        <f>IF('Runs'!$A$22="","",'Runs'!$A$22)</f>
        <v/>
      </c>
      <c r="H222">
        <f>IF('Batches'!$A$22="","",'Batches'!$A$22)</f>
        <v/>
      </c>
    </row>
    <row r="223">
      <c r="A223">
        <f>IF('Machines and sensors'!$A$143="","",'Machines and sensors'!$A$143)</f>
        <v/>
      </c>
      <c r="F223">
        <f>IF('Machines and sensors'!$A$43="","",'Machines and sensors'!$A$43)</f>
        <v/>
      </c>
      <c r="G223">
        <f>IF('Runs'!$A$23="","",'Runs'!$A$23)</f>
        <v/>
      </c>
      <c r="H223">
        <f>IF('Batches'!$A$23="","",'Batches'!$A$23)</f>
        <v/>
      </c>
    </row>
    <row r="224">
      <c r="A224">
        <f>IF('Machines and sensors'!$A$144="","",'Machines and sensors'!$A$144)</f>
        <v/>
      </c>
      <c r="F224">
        <f>IF('Machines and sensors'!$A$44="","",'Machines and sensors'!$A$44)</f>
        <v/>
      </c>
      <c r="G224">
        <f>IF('Runs'!$A$24="","",'Runs'!$A$24)</f>
        <v/>
      </c>
      <c r="H224">
        <f>IF('Batches'!$A$24="","",'Batches'!$A$24)</f>
        <v/>
      </c>
    </row>
    <row r="225">
      <c r="A225">
        <f>IF('Machines and sensors'!$A$145="","",'Machines and sensors'!$A$145)</f>
        <v/>
      </c>
      <c r="F225">
        <f>IF('Machines and sensors'!$A$45="","",'Machines and sensors'!$A$45)</f>
        <v/>
      </c>
      <c r="G225">
        <f>IF('Runs'!$A$25="","",'Runs'!$A$25)</f>
        <v/>
      </c>
      <c r="H225">
        <f>IF('Batches'!$A$25="","",'Batches'!$A$25)</f>
        <v/>
      </c>
    </row>
    <row r="226">
      <c r="A226">
        <f>IF('Machines and sensors'!$A$146="","",'Machines and sensors'!$A$146)</f>
        <v/>
      </c>
      <c r="F226">
        <f>IF('Machines and sensors'!$A$46="","",'Machines and sensors'!$A$46)</f>
        <v/>
      </c>
      <c r="G226">
        <f>IF('Runs'!$A$26="","",'Runs'!$A$26)</f>
        <v/>
      </c>
      <c r="H226">
        <f>IF('Batches'!$A$26="","",'Batches'!$A$26)</f>
        <v/>
      </c>
    </row>
    <row r="227">
      <c r="A227">
        <f>IF('Machines and sensors'!$A$147="","",'Machines and sensors'!$A$147)</f>
        <v/>
      </c>
      <c r="F227">
        <f>IF('Machines and sensors'!$A$47="","",'Machines and sensors'!$A$47)</f>
        <v/>
      </c>
      <c r="G227">
        <f>IF('Runs'!$A$27="","",'Runs'!$A$27)</f>
        <v/>
      </c>
      <c r="H227">
        <f>IF('Batches'!$A$27="","",'Batches'!$A$27)</f>
        <v/>
      </c>
    </row>
    <row r="228">
      <c r="A228">
        <f>IF('Machines and sensors'!$A$148="","",'Machines and sensors'!$A$148)</f>
        <v/>
      </c>
      <c r="F228">
        <f>IF('Machines and sensors'!$A$48="","",'Machines and sensors'!$A$48)</f>
        <v/>
      </c>
      <c r="G228">
        <f>IF('Runs'!$A$28="","",'Runs'!$A$28)</f>
        <v/>
      </c>
      <c r="H228">
        <f>IF('Batches'!$A$28="","",'Batches'!$A$28)</f>
        <v/>
      </c>
    </row>
    <row r="229">
      <c r="A229">
        <f>IF('Machines and sensors'!$A$149="","",'Machines and sensors'!$A$149)</f>
        <v/>
      </c>
      <c r="F229">
        <f>IF('Machines and sensors'!$A$49="","",'Machines and sensors'!$A$49)</f>
        <v/>
      </c>
      <c r="G229">
        <f>IF('Runs'!$A$29="","",'Runs'!$A$29)</f>
        <v/>
      </c>
      <c r="H229">
        <f>IF('Batches'!$A$29="","",'Batches'!$A$29)</f>
        <v/>
      </c>
    </row>
    <row r="230">
      <c r="A230">
        <f>IF('Machines and sensors'!$A$150="","",'Machines and sensors'!$A$150)</f>
        <v/>
      </c>
      <c r="F230">
        <f>IF('Machines and sensors'!$A$50="","",'Machines and sensors'!$A$50)</f>
        <v/>
      </c>
      <c r="G230">
        <f>IF('Runs'!$A$30="","",'Runs'!$A$30)</f>
        <v/>
      </c>
      <c r="H230">
        <f>IF('Batches'!$A$30="","",'Batches'!$A$30)</f>
        <v/>
      </c>
    </row>
    <row r="231">
      <c r="A231">
        <f>IF('Machines and sensors'!$A$151="","",'Machines and sensors'!$A$151)</f>
        <v/>
      </c>
      <c r="F231">
        <f>IF('Machines and sensors'!$A$51="","",'Machines and sensors'!$A$51)</f>
        <v/>
      </c>
      <c r="G231">
        <f>IF('Runs'!$A$31="","",'Runs'!$A$31)</f>
        <v/>
      </c>
      <c r="H231">
        <f>IF('Batches'!$A$31="","",'Batches'!$A$31)</f>
        <v/>
      </c>
    </row>
    <row r="232">
      <c r="A232">
        <f>IF('Machines and sensors'!$A$152="","",'Machines and sensors'!$A$152)</f>
        <v/>
      </c>
      <c r="F232">
        <f>IF('Machines and sensors'!$A$52="","",'Machines and sensors'!$A$52)</f>
        <v/>
      </c>
      <c r="G232">
        <f>IF('Runs'!$A$32="","",'Runs'!$A$32)</f>
        <v/>
      </c>
      <c r="H232">
        <f>IF('Batches'!$A$32="","",'Batches'!$A$32)</f>
        <v/>
      </c>
    </row>
    <row r="233">
      <c r="A233">
        <f>IF('Machines and sensors'!$A$153="","",'Machines and sensors'!$A$153)</f>
        <v/>
      </c>
      <c r="F233">
        <f>IF('Machines and sensors'!$A$53="","",'Machines and sensors'!$A$53)</f>
        <v/>
      </c>
      <c r="G233">
        <f>IF('Runs'!$A$33="","",'Runs'!$A$33)</f>
        <v/>
      </c>
      <c r="H233">
        <f>IF('Batches'!$A$33="","",'Batches'!$A$33)</f>
        <v/>
      </c>
    </row>
    <row r="234">
      <c r="A234">
        <f>IF('Machines and sensors'!$A$154="","",'Machines and sensors'!$A$154)</f>
        <v/>
      </c>
      <c r="F234">
        <f>IF('Machines and sensors'!$A$54="","",'Machines and sensors'!$A$54)</f>
        <v/>
      </c>
      <c r="G234">
        <f>IF('Runs'!$A$34="","",'Runs'!$A$34)</f>
        <v/>
      </c>
      <c r="H234">
        <f>IF('Batches'!$A$34="","",'Batches'!$A$34)</f>
        <v/>
      </c>
    </row>
    <row r="235">
      <c r="A235">
        <f>IF('Machines and sensors'!$A$155="","",'Machines and sensors'!$A$155)</f>
        <v/>
      </c>
      <c r="F235">
        <f>IF('Machines and sensors'!$A$55="","",'Machines and sensors'!$A$55)</f>
        <v/>
      </c>
      <c r="G235">
        <f>IF('Runs'!$A$35="","",'Runs'!$A$35)</f>
        <v/>
      </c>
      <c r="H235">
        <f>IF('Batches'!$A$35="","",'Batches'!$A$35)</f>
        <v/>
      </c>
    </row>
    <row r="236">
      <c r="A236">
        <f>IF('Machines and sensors'!$A$156="","",'Machines and sensors'!$A$156)</f>
        <v/>
      </c>
      <c r="F236">
        <f>IF('Machines and sensors'!$A$56="","",'Machines and sensors'!$A$56)</f>
        <v/>
      </c>
      <c r="G236">
        <f>IF('Runs'!$A$36="","",'Runs'!$A$36)</f>
        <v/>
      </c>
      <c r="H236">
        <f>IF('Batches'!$A$36="","",'Batches'!$A$36)</f>
        <v/>
      </c>
    </row>
    <row r="237">
      <c r="A237">
        <f>IF('Machines and sensors'!$A$157="","",'Machines and sensors'!$A$157)</f>
        <v/>
      </c>
      <c r="F237">
        <f>IF('Machines and sensors'!$A$57="","",'Machines and sensors'!$A$57)</f>
        <v/>
      </c>
      <c r="G237">
        <f>IF('Runs'!$A$37="","",'Runs'!$A$37)</f>
        <v/>
      </c>
      <c r="H237">
        <f>IF('Batches'!$A$37="","",'Batches'!$A$37)</f>
        <v/>
      </c>
    </row>
    <row r="238">
      <c r="A238">
        <f>IF('Machines and sensors'!$A$158="","",'Machines and sensors'!$A$158)</f>
        <v/>
      </c>
      <c r="F238">
        <f>IF('Machines and sensors'!$A$58="","",'Machines and sensors'!$A$58)</f>
        <v/>
      </c>
      <c r="G238">
        <f>IF('Runs'!$A$38="","",'Runs'!$A$38)</f>
        <v/>
      </c>
      <c r="H238">
        <f>IF('Batches'!$A$38="","",'Batches'!$A$38)</f>
        <v/>
      </c>
    </row>
    <row r="239">
      <c r="A239">
        <f>IF('Machines and sensors'!$A$159="","",'Machines and sensors'!$A$159)</f>
        <v/>
      </c>
      <c r="F239">
        <f>IF('Machines and sensors'!$A$59="","",'Machines and sensors'!$A$59)</f>
        <v/>
      </c>
      <c r="G239">
        <f>IF('Runs'!$A$39="","",'Runs'!$A$39)</f>
        <v/>
      </c>
      <c r="H239">
        <f>IF('Batches'!$A$39="","",'Batches'!$A$39)</f>
        <v/>
      </c>
    </row>
    <row r="240">
      <c r="A240">
        <f>IF('Machines and sensors'!$A$160="","",'Machines and sensors'!$A$160)</f>
        <v/>
      </c>
      <c r="F240">
        <f>IF('Machines and sensors'!$A$60="","",'Machines and sensors'!$A$60)</f>
        <v/>
      </c>
      <c r="G240">
        <f>IF('Runs'!$A$40="","",'Runs'!$A$40)</f>
        <v/>
      </c>
      <c r="H240">
        <f>IF('Batches'!$A$40="","",'Batches'!$A$40)</f>
        <v/>
      </c>
    </row>
    <row r="241">
      <c r="A241">
        <f>IF('Machines and sensors'!$A$161="","",'Machines and sensors'!$A$161)</f>
        <v/>
      </c>
      <c r="F241">
        <f>IF('Machines and sensors'!$A$61="","",'Machines and sensors'!$A$61)</f>
        <v/>
      </c>
      <c r="G241">
        <f>IF('Runs'!$A$41="","",'Runs'!$A$41)</f>
        <v/>
      </c>
      <c r="H241">
        <f>IF('Batches'!$A$41="","",'Batches'!$A$41)</f>
        <v/>
      </c>
    </row>
    <row r="242">
      <c r="A242">
        <f>IF('Machines and sensors'!$A$162="","",'Machines and sensors'!$A$162)</f>
        <v/>
      </c>
      <c r="F242">
        <f>IF('Machines and sensors'!$A$62="","",'Machines and sensors'!$A$62)</f>
        <v/>
      </c>
      <c r="G242">
        <f>IF('Runs'!$A$42="","",'Runs'!$A$42)</f>
        <v/>
      </c>
      <c r="H242">
        <f>IF('Batches'!$A$42="","",'Batches'!$A$42)</f>
        <v/>
      </c>
    </row>
    <row r="243">
      <c r="A243">
        <f>IF('Machines and sensors'!$A$163="","",'Machines and sensors'!$A$163)</f>
        <v/>
      </c>
      <c r="F243">
        <f>IF('Machines and sensors'!$A$63="","",'Machines and sensors'!$A$63)</f>
        <v/>
      </c>
      <c r="G243">
        <f>IF('Runs'!$A$43="","",'Runs'!$A$43)</f>
        <v/>
      </c>
      <c r="H243">
        <f>IF('Batches'!$A$43="","",'Batches'!$A$43)</f>
        <v/>
      </c>
    </row>
    <row r="244">
      <c r="A244">
        <f>IF('Machines and sensors'!$A$164="","",'Machines and sensors'!$A$164)</f>
        <v/>
      </c>
      <c r="F244">
        <f>IF('Machines and sensors'!$A$64="","",'Machines and sensors'!$A$64)</f>
        <v/>
      </c>
      <c r="G244">
        <f>IF('Runs'!$A$44="","",'Runs'!$A$44)</f>
        <v/>
      </c>
      <c r="H244">
        <f>IF('Batches'!$A$44="","",'Batches'!$A$44)</f>
        <v/>
      </c>
    </row>
    <row r="245">
      <c r="A245">
        <f>IF('Machines and sensors'!$A$165="","",'Machines and sensors'!$A$165)</f>
        <v/>
      </c>
      <c r="F245">
        <f>IF('Machines and sensors'!$A$65="","",'Machines and sensors'!$A$65)</f>
        <v/>
      </c>
      <c r="G245">
        <f>IF('Runs'!$A$45="","",'Runs'!$A$45)</f>
        <v/>
      </c>
      <c r="H245">
        <f>IF('Batches'!$A$45="","",'Batches'!$A$45)</f>
        <v/>
      </c>
    </row>
    <row r="246">
      <c r="A246">
        <f>IF('Machines and sensors'!$A$166="","",'Machines and sensors'!$A$166)</f>
        <v/>
      </c>
      <c r="F246">
        <f>IF('Machines and sensors'!$A$66="","",'Machines and sensors'!$A$66)</f>
        <v/>
      </c>
      <c r="G246">
        <f>IF('Runs'!$A$46="","",'Runs'!$A$46)</f>
        <v/>
      </c>
      <c r="H246">
        <f>IF('Batches'!$A$46="","",'Batches'!$A$46)</f>
        <v/>
      </c>
    </row>
    <row r="247">
      <c r="A247">
        <f>IF('Machines and sensors'!$A$167="","",'Machines and sensors'!$A$167)</f>
        <v/>
      </c>
      <c r="F247">
        <f>IF('Machines and sensors'!$A$67="","",'Machines and sensors'!$A$67)</f>
        <v/>
      </c>
      <c r="G247">
        <f>IF('Runs'!$A$47="","",'Runs'!$A$47)</f>
        <v/>
      </c>
      <c r="H247">
        <f>IF('Batches'!$A$47="","",'Batches'!$A$47)</f>
        <v/>
      </c>
    </row>
    <row r="248">
      <c r="A248">
        <f>IF('Machines and sensors'!$A$168="","",'Machines and sensors'!$A$168)</f>
        <v/>
      </c>
      <c r="F248">
        <f>IF('Machines and sensors'!$A$68="","",'Machines and sensors'!$A$68)</f>
        <v/>
      </c>
      <c r="G248">
        <f>IF('Runs'!$A$48="","",'Runs'!$A$48)</f>
        <v/>
      </c>
      <c r="H248">
        <f>IF('Batches'!$A$48="","",'Batches'!$A$48)</f>
        <v/>
      </c>
    </row>
    <row r="249">
      <c r="A249">
        <f>IF('Machines and sensors'!$A$169="","",'Machines and sensors'!$A$169)</f>
        <v/>
      </c>
      <c r="F249">
        <f>IF('Machines and sensors'!$A$69="","",'Machines and sensors'!$A$69)</f>
        <v/>
      </c>
      <c r="G249">
        <f>IF('Runs'!$A$49="","",'Runs'!$A$49)</f>
        <v/>
      </c>
      <c r="H249">
        <f>IF('Batches'!$A$49="","",'Batches'!$A$49)</f>
        <v/>
      </c>
    </row>
    <row r="250">
      <c r="A250">
        <f>IF('Machines and sensors'!$A$170="","",'Machines and sensors'!$A$170)</f>
        <v/>
      </c>
      <c r="F250">
        <f>IF('Machines and sensors'!$A$70="","",'Machines and sensors'!$A$70)</f>
        <v/>
      </c>
      <c r="G250">
        <f>IF('Runs'!$A$50="","",'Runs'!$A$50)</f>
        <v/>
      </c>
      <c r="H250">
        <f>IF('Batches'!$A$50="","",'Batches'!$A$50)</f>
        <v/>
      </c>
    </row>
    <row r="251">
      <c r="A251">
        <f>IF('Machines and sensors'!$A$171="","",'Machines and sensors'!$A$171)</f>
        <v/>
      </c>
      <c r="F251">
        <f>IF('Machines and sensors'!$A$71="","",'Machines and sensors'!$A$71)</f>
        <v/>
      </c>
      <c r="G251">
        <f>IF('Runs'!$A$51="","",'Runs'!$A$51)</f>
        <v/>
      </c>
      <c r="H251">
        <f>IF('Batches'!$A$51="","",'Batches'!$A$51)</f>
        <v/>
      </c>
    </row>
    <row r="252">
      <c r="A252">
        <f>IF('Machines and sensors'!$A$172="","",'Machines and sensors'!$A$172)</f>
        <v/>
      </c>
      <c r="F252">
        <f>IF('Machines and sensors'!$A$72="","",'Machines and sensors'!$A$72)</f>
        <v/>
      </c>
      <c r="G252">
        <f>IF('Runs'!$A$52="","",'Runs'!$A$52)</f>
        <v/>
      </c>
      <c r="H252">
        <f>IF('Batches'!$A$52="","",'Batches'!$A$52)</f>
        <v/>
      </c>
    </row>
    <row r="253">
      <c r="A253">
        <f>IF('Machines and sensors'!$A$173="","",'Machines and sensors'!$A$173)</f>
        <v/>
      </c>
      <c r="F253">
        <f>IF('Machines and sensors'!$A$73="","",'Machines and sensors'!$A$73)</f>
        <v/>
      </c>
      <c r="G253">
        <f>IF('Runs'!$A$53="","",'Runs'!$A$53)</f>
        <v/>
      </c>
      <c r="H253">
        <f>IF('Batches'!$A$53="","",'Batches'!$A$53)</f>
        <v/>
      </c>
    </row>
    <row r="254">
      <c r="A254">
        <f>IF('Machines and sensors'!$A$174="","",'Machines and sensors'!$A$174)</f>
        <v/>
      </c>
      <c r="F254">
        <f>IF('Machines and sensors'!$A$74="","",'Machines and sensors'!$A$74)</f>
        <v/>
      </c>
      <c r="G254">
        <f>IF('Runs'!$A$54="","",'Runs'!$A$54)</f>
        <v/>
      </c>
      <c r="H254">
        <f>IF('Batches'!$A$54="","",'Batches'!$A$54)</f>
        <v/>
      </c>
    </row>
    <row r="255">
      <c r="A255">
        <f>IF('Machines and sensors'!$A$175="","",'Machines and sensors'!$A$175)</f>
        <v/>
      </c>
      <c r="F255">
        <f>IF('Machines and sensors'!$A$75="","",'Machines and sensors'!$A$75)</f>
        <v/>
      </c>
      <c r="G255">
        <f>IF('Runs'!$A$55="","",'Runs'!$A$55)</f>
        <v/>
      </c>
      <c r="H255">
        <f>IF('Batches'!$A$55="","",'Batches'!$A$55)</f>
        <v/>
      </c>
    </row>
    <row r="256">
      <c r="A256">
        <f>IF('Machines and sensors'!$A$176="","",'Machines and sensors'!$A$176)</f>
        <v/>
      </c>
      <c r="F256">
        <f>IF('Machines and sensors'!$A$76="","",'Machines and sensors'!$A$76)</f>
        <v/>
      </c>
      <c r="G256">
        <f>IF('Runs'!$A$56="","",'Runs'!$A$56)</f>
        <v/>
      </c>
      <c r="H256">
        <f>IF('Batches'!$A$56="","",'Batches'!$A$56)</f>
        <v/>
      </c>
    </row>
    <row r="257">
      <c r="A257">
        <f>IF('Machines and sensors'!$A$177="","",'Machines and sensors'!$A$177)</f>
        <v/>
      </c>
      <c r="F257">
        <f>IF('Machines and sensors'!$A$77="","",'Machines and sensors'!$A$77)</f>
        <v/>
      </c>
      <c r="G257">
        <f>IF('Runs'!$A$57="","",'Runs'!$A$57)</f>
        <v/>
      </c>
      <c r="H257">
        <f>IF('Batches'!$A$57="","",'Batches'!$A$57)</f>
        <v/>
      </c>
    </row>
    <row r="258">
      <c r="A258">
        <f>IF('Machines and sensors'!$A$178="","",'Machines and sensors'!$A$178)</f>
        <v/>
      </c>
      <c r="F258">
        <f>IF('Machines and sensors'!$A$78="","",'Machines and sensors'!$A$78)</f>
        <v/>
      </c>
      <c r="G258">
        <f>IF('Runs'!$A$58="","",'Runs'!$A$58)</f>
        <v/>
      </c>
      <c r="H258">
        <f>IF('Batches'!$A$58="","",'Batches'!$A$58)</f>
        <v/>
      </c>
    </row>
    <row r="259">
      <c r="A259">
        <f>IF('Machines and sensors'!$A$179="","",'Machines and sensors'!$A$179)</f>
        <v/>
      </c>
      <c r="F259">
        <f>IF('Machines and sensors'!$A$79="","",'Machines and sensors'!$A$79)</f>
        <v/>
      </c>
      <c r="G259">
        <f>IF('Runs'!$A$59="","",'Runs'!$A$59)</f>
        <v/>
      </c>
      <c r="H259">
        <f>IF('Batches'!$A$59="","",'Batches'!$A$59)</f>
        <v/>
      </c>
    </row>
    <row r="260">
      <c r="A260">
        <f>IF('Machines and sensors'!$A$180="","",'Machines and sensors'!$A$180)</f>
        <v/>
      </c>
      <c r="F260">
        <f>IF('Machines and sensors'!$A$80="","",'Machines and sensors'!$A$80)</f>
        <v/>
      </c>
      <c r="G260">
        <f>IF('Runs'!$A$60="","",'Runs'!$A$60)</f>
        <v/>
      </c>
      <c r="H260">
        <f>IF('Batches'!$A$60="","",'Batches'!$A$60)</f>
        <v/>
      </c>
    </row>
    <row r="261">
      <c r="A261">
        <f>IF('Machines and sensors'!$A$181="","",'Machines and sensors'!$A$181)</f>
        <v/>
      </c>
      <c r="F261">
        <f>IF('Machines and sensors'!$A$81="","",'Machines and sensors'!$A$81)</f>
        <v/>
      </c>
      <c r="G261">
        <f>IF('Runs'!$A$61="","",'Runs'!$A$61)</f>
        <v/>
      </c>
      <c r="H261">
        <f>IF('Batches'!$A$61="","",'Batches'!$A$61)</f>
        <v/>
      </c>
    </row>
    <row r="262">
      <c r="A262">
        <f>IF('Machines and sensors'!$A$182="","",'Machines and sensors'!$A$182)</f>
        <v/>
      </c>
      <c r="F262">
        <f>IF('Machines and sensors'!$A$82="","",'Machines and sensors'!$A$82)</f>
        <v/>
      </c>
      <c r="G262">
        <f>IF('Runs'!$A$62="","",'Runs'!$A$62)</f>
        <v/>
      </c>
      <c r="H262">
        <f>IF('Batches'!$A$62="","",'Batches'!$A$62)</f>
        <v/>
      </c>
    </row>
    <row r="263">
      <c r="A263">
        <f>IF('Machines and sensors'!$A$183="","",'Machines and sensors'!$A$183)</f>
        <v/>
      </c>
      <c r="F263">
        <f>IF('Machines and sensors'!$A$83="","",'Machines and sensors'!$A$83)</f>
        <v/>
      </c>
      <c r="G263">
        <f>IF('Runs'!$A$63="","",'Runs'!$A$63)</f>
        <v/>
      </c>
      <c r="H263">
        <f>IF('Batches'!$A$63="","",'Batches'!$A$63)</f>
        <v/>
      </c>
    </row>
    <row r="264">
      <c r="A264">
        <f>IF('Machines and sensors'!$A$184="","",'Machines and sensors'!$A$184)</f>
        <v/>
      </c>
      <c r="F264">
        <f>IF('Machines and sensors'!$A$84="","",'Machines and sensors'!$A$84)</f>
        <v/>
      </c>
      <c r="G264">
        <f>IF('Runs'!$A$64="","",'Runs'!$A$64)</f>
        <v/>
      </c>
      <c r="H264">
        <f>IF('Batches'!$A$64="","",'Batches'!$A$64)</f>
        <v/>
      </c>
    </row>
    <row r="265">
      <c r="A265">
        <f>IF('Machines and sensors'!$A$185="","",'Machines and sensors'!$A$185)</f>
        <v/>
      </c>
      <c r="F265">
        <f>IF('Machines and sensors'!$A$85="","",'Machines and sensors'!$A$85)</f>
        <v/>
      </c>
      <c r="G265">
        <f>IF('Runs'!$A$65="","",'Runs'!$A$65)</f>
        <v/>
      </c>
      <c r="H265">
        <f>IF('Batches'!$A$65="","",'Batches'!$A$65)</f>
        <v/>
      </c>
    </row>
    <row r="266">
      <c r="A266">
        <f>IF('Machines and sensors'!$A$186="","",'Machines and sensors'!$A$186)</f>
        <v/>
      </c>
      <c r="F266">
        <f>IF('Machines and sensors'!$A$86="","",'Machines and sensors'!$A$86)</f>
        <v/>
      </c>
      <c r="G266">
        <f>IF('Runs'!$A$66="","",'Runs'!$A$66)</f>
        <v/>
      </c>
      <c r="H266">
        <f>IF('Batches'!$A$66="","",'Batches'!$A$66)</f>
        <v/>
      </c>
    </row>
    <row r="267">
      <c r="A267">
        <f>IF('Machines and sensors'!$A$187="","",'Machines and sensors'!$A$187)</f>
        <v/>
      </c>
      <c r="F267">
        <f>IF('Machines and sensors'!$A$87="","",'Machines and sensors'!$A$87)</f>
        <v/>
      </c>
      <c r="G267">
        <f>IF('Runs'!$A$67="","",'Runs'!$A$67)</f>
        <v/>
      </c>
      <c r="H267">
        <f>IF('Batches'!$A$67="","",'Batches'!$A$67)</f>
        <v/>
      </c>
    </row>
    <row r="268">
      <c r="A268">
        <f>IF('Machines and sensors'!$A$188="","",'Machines and sensors'!$A$188)</f>
        <v/>
      </c>
      <c r="F268">
        <f>IF('Machines and sensors'!$A$88="","",'Machines and sensors'!$A$88)</f>
        <v/>
      </c>
      <c r="G268">
        <f>IF('Runs'!$A$68="","",'Runs'!$A$68)</f>
        <v/>
      </c>
      <c r="H268">
        <f>IF('Batches'!$A$68="","",'Batches'!$A$68)</f>
        <v/>
      </c>
    </row>
    <row r="269">
      <c r="A269">
        <f>IF('Machines and sensors'!$A$189="","",'Machines and sensors'!$A$189)</f>
        <v/>
      </c>
      <c r="F269">
        <f>IF('Machines and sensors'!$A$89="","",'Machines and sensors'!$A$89)</f>
        <v/>
      </c>
      <c r="G269">
        <f>IF('Runs'!$A$69="","",'Runs'!$A$69)</f>
        <v/>
      </c>
      <c r="H269">
        <f>IF('Batches'!$A$69="","",'Batches'!$A$69)</f>
        <v/>
      </c>
    </row>
    <row r="270">
      <c r="A270">
        <f>IF('Machines and sensors'!$A$190="","",'Machines and sensors'!$A$190)</f>
        <v/>
      </c>
      <c r="F270">
        <f>IF('Machines and sensors'!$A$90="","",'Machines and sensors'!$A$90)</f>
        <v/>
      </c>
      <c r="G270">
        <f>IF('Runs'!$A$70="","",'Runs'!$A$70)</f>
        <v/>
      </c>
      <c r="H270">
        <f>IF('Batches'!$A$70="","",'Batches'!$A$70)</f>
        <v/>
      </c>
    </row>
    <row r="271">
      <c r="A271">
        <f>IF('Machines and sensors'!$A$191="","",'Machines and sensors'!$A$191)</f>
        <v/>
      </c>
      <c r="F271">
        <f>IF('Machines and sensors'!$A$91="","",'Machines and sensors'!$A$91)</f>
        <v/>
      </c>
      <c r="G271">
        <f>IF('Runs'!$A$71="","",'Runs'!$A$71)</f>
        <v/>
      </c>
      <c r="H271">
        <f>IF('Batches'!$A$71="","",'Batches'!$A$71)</f>
        <v/>
      </c>
    </row>
    <row r="272">
      <c r="A272">
        <f>IF('Machines and sensors'!$A$192="","",'Machines and sensors'!$A$192)</f>
        <v/>
      </c>
      <c r="F272">
        <f>IF('Machines and sensors'!$A$92="","",'Machines and sensors'!$A$92)</f>
        <v/>
      </c>
      <c r="G272">
        <f>IF('Runs'!$A$72="","",'Runs'!$A$72)</f>
        <v/>
      </c>
      <c r="H272">
        <f>IF('Batches'!$A$72="","",'Batches'!$A$72)</f>
        <v/>
      </c>
    </row>
    <row r="273">
      <c r="A273">
        <f>IF('Machines and sensors'!$A$193="","",'Machines and sensors'!$A$193)</f>
        <v/>
      </c>
      <c r="F273">
        <f>IF('Machines and sensors'!$A$93="","",'Machines and sensors'!$A$93)</f>
        <v/>
      </c>
      <c r="G273">
        <f>IF('Runs'!$A$73="","",'Runs'!$A$73)</f>
        <v/>
      </c>
      <c r="H273">
        <f>IF('Batches'!$A$73="","",'Batches'!$A$73)</f>
        <v/>
      </c>
    </row>
    <row r="274">
      <c r="A274">
        <f>IF('Machines and sensors'!$A$194="","",'Machines and sensors'!$A$194)</f>
        <v/>
      </c>
      <c r="F274">
        <f>IF('Machines and sensors'!$A$94="","",'Machines and sensors'!$A$94)</f>
        <v/>
      </c>
      <c r="G274">
        <f>IF('Runs'!$A$74="","",'Runs'!$A$74)</f>
        <v/>
      </c>
      <c r="H274">
        <f>IF('Batches'!$A$74="","",'Batches'!$A$74)</f>
        <v/>
      </c>
    </row>
    <row r="275">
      <c r="A275">
        <f>IF('Machines and sensors'!$A$195="","",'Machines and sensors'!$A$195)</f>
        <v/>
      </c>
      <c r="F275">
        <f>IF('Machines and sensors'!$A$95="","",'Machines and sensors'!$A$95)</f>
        <v/>
      </c>
      <c r="G275">
        <f>IF('Runs'!$A$75="","",'Runs'!$A$75)</f>
        <v/>
      </c>
      <c r="H275">
        <f>IF('Batches'!$A$75="","",'Batches'!$A$75)</f>
        <v/>
      </c>
    </row>
    <row r="276">
      <c r="A276">
        <f>IF('Machines and sensors'!$A$196="","",'Machines and sensors'!$A$196)</f>
        <v/>
      </c>
      <c r="F276">
        <f>IF('Machines and sensors'!$A$96="","",'Machines and sensors'!$A$96)</f>
        <v/>
      </c>
      <c r="G276">
        <f>IF('Runs'!$A$76="","",'Runs'!$A$76)</f>
        <v/>
      </c>
      <c r="H276">
        <f>IF('Batches'!$A$76="","",'Batches'!$A$76)</f>
        <v/>
      </c>
    </row>
    <row r="277">
      <c r="A277">
        <f>IF('Machines and sensors'!$A$197="","",'Machines and sensors'!$A$197)</f>
        <v/>
      </c>
      <c r="F277">
        <f>IF('Machines and sensors'!$A$97="","",'Machines and sensors'!$A$97)</f>
        <v/>
      </c>
      <c r="G277">
        <f>IF('Runs'!$A$77="","",'Runs'!$A$77)</f>
        <v/>
      </c>
      <c r="H277">
        <f>IF('Batches'!$A$77="","",'Batches'!$A$77)</f>
        <v/>
      </c>
    </row>
    <row r="278">
      <c r="A278">
        <f>IF('Machines and sensors'!$A$198="","",'Machines and sensors'!$A$198)</f>
        <v/>
      </c>
      <c r="F278">
        <f>IF('Machines and sensors'!$A$98="","",'Machines and sensors'!$A$98)</f>
        <v/>
      </c>
      <c r="G278">
        <f>IF('Runs'!$A$78="","",'Runs'!$A$78)</f>
        <v/>
      </c>
      <c r="H278">
        <f>IF('Batches'!$A$78="","",'Batches'!$A$78)</f>
        <v/>
      </c>
    </row>
    <row r="279">
      <c r="A279">
        <f>IF('Machines and sensors'!$A$199="","",'Machines and sensors'!$A$199)</f>
        <v/>
      </c>
      <c r="F279">
        <f>IF('Machines and sensors'!$A$99="","",'Machines and sensors'!$A$99)</f>
        <v/>
      </c>
      <c r="G279">
        <f>IF('Runs'!$A$79="","",'Runs'!$A$79)</f>
        <v/>
      </c>
      <c r="H279">
        <f>IF('Batches'!$A$79="","",'Batches'!$A$79)</f>
        <v/>
      </c>
    </row>
    <row r="280">
      <c r="A280">
        <f>IF('Machines and sensors'!$A$200="","",'Machines and sensors'!$A$200)</f>
        <v/>
      </c>
      <c r="F280">
        <f>IF('Machines and sensors'!$A$100="","",'Machines and sensors'!$A$100)</f>
        <v/>
      </c>
      <c r="G280">
        <f>IF('Runs'!$A$80="","",'Runs'!$A$80)</f>
        <v/>
      </c>
      <c r="H280">
        <f>IF('Batches'!$A$80="","",'Batches'!$A$80)</f>
        <v/>
      </c>
    </row>
    <row r="281">
      <c r="A281">
        <f>IF('Machines and sensors'!$A$201="","",'Machines and sensors'!$A$201)</f>
        <v/>
      </c>
      <c r="F281">
        <f>IF('Machines and sensors'!$A$101="","",'Machines and sensors'!$A$101)</f>
        <v/>
      </c>
      <c r="G281">
        <f>IF('Runs'!$A$81="","",'Runs'!$A$81)</f>
        <v/>
      </c>
      <c r="H281">
        <f>IF('Batches'!$A$81="","",'Batches'!$A$81)</f>
        <v/>
      </c>
    </row>
    <row r="282">
      <c r="A282">
        <f>IF('Machines and sensors'!$A$202="","",'Machines and sensors'!$A$202)</f>
        <v/>
      </c>
      <c r="F282">
        <f>IF('Machines and sensors'!$A$102="","",'Machines and sensors'!$A$102)</f>
        <v/>
      </c>
      <c r="G282">
        <f>IF('Runs'!$A$82="","",'Runs'!$A$82)</f>
        <v/>
      </c>
      <c r="H282">
        <f>IF('Batches'!$A$82="","",'Batches'!$A$82)</f>
        <v/>
      </c>
    </row>
    <row r="283">
      <c r="A283">
        <f>IF('Machines and sensors'!$A$203="","",'Machines and sensors'!$A$203)</f>
        <v/>
      </c>
      <c r="F283">
        <f>IF('Machines and sensors'!$A$103="","",'Machines and sensors'!$A$103)</f>
        <v/>
      </c>
      <c r="G283">
        <f>IF('Runs'!$A$83="","",'Runs'!$A$83)</f>
        <v/>
      </c>
      <c r="H283">
        <f>IF('Batches'!$A$83="","",'Batches'!$A$83)</f>
        <v/>
      </c>
    </row>
    <row r="284">
      <c r="F284">
        <f>IF('Machines and sensors'!$A$104="","",'Machines and sensors'!$A$104)</f>
        <v/>
      </c>
      <c r="G284">
        <f>IF('Runs'!$A$84="","",'Runs'!$A$84)</f>
        <v/>
      </c>
      <c r="H284">
        <f>IF('Batches'!$A$84="","",'Batches'!$A$84)</f>
        <v/>
      </c>
    </row>
    <row r="285">
      <c r="F285">
        <f>IF('Machines and sensors'!$A$105="","",'Machines and sensors'!$A$105)</f>
        <v/>
      </c>
      <c r="G285">
        <f>IF('Runs'!$A$85="","",'Runs'!$A$85)</f>
        <v/>
      </c>
      <c r="H285">
        <f>IF('Batches'!$A$85="","",'Batches'!$A$85)</f>
        <v/>
      </c>
    </row>
    <row r="286">
      <c r="F286">
        <f>IF('Machines and sensors'!$A$106="","",'Machines and sensors'!$A$106)</f>
        <v/>
      </c>
      <c r="G286">
        <f>IF('Runs'!$A$86="","",'Runs'!$A$86)</f>
        <v/>
      </c>
      <c r="H286">
        <f>IF('Batches'!$A$86="","",'Batches'!$A$86)</f>
        <v/>
      </c>
    </row>
    <row r="287">
      <c r="F287">
        <f>IF('Machines and sensors'!$A$107="","",'Machines and sensors'!$A$107)</f>
        <v/>
      </c>
      <c r="G287">
        <f>IF('Runs'!$A$87="","",'Runs'!$A$87)</f>
        <v/>
      </c>
      <c r="H287">
        <f>IF('Batches'!$A$87="","",'Batches'!$A$87)</f>
        <v/>
      </c>
    </row>
    <row r="288">
      <c r="F288">
        <f>IF('Machines and sensors'!$A$108="","",'Machines and sensors'!$A$108)</f>
        <v/>
      </c>
      <c r="G288">
        <f>IF('Runs'!$A$88="","",'Runs'!$A$88)</f>
        <v/>
      </c>
      <c r="H288">
        <f>IF('Batches'!$A$88="","",'Batches'!$A$88)</f>
        <v/>
      </c>
    </row>
    <row r="289">
      <c r="F289">
        <f>IF('Machines and sensors'!$A$109="","",'Machines and sensors'!$A$109)</f>
        <v/>
      </c>
      <c r="G289">
        <f>IF('Runs'!$A$89="","",'Runs'!$A$89)</f>
        <v/>
      </c>
      <c r="H289">
        <f>IF('Batches'!$A$89="","",'Batches'!$A$89)</f>
        <v/>
      </c>
    </row>
    <row r="290">
      <c r="F290">
        <f>IF('Machines and sensors'!$A$110="","",'Machines and sensors'!$A$110)</f>
        <v/>
      </c>
      <c r="G290">
        <f>IF('Runs'!$A$90="","",'Runs'!$A$90)</f>
        <v/>
      </c>
      <c r="H290">
        <f>IF('Batches'!$A$90="","",'Batches'!$A$90)</f>
        <v/>
      </c>
    </row>
    <row r="291">
      <c r="F291">
        <f>IF('Machines and sensors'!$A$111="","",'Machines and sensors'!$A$111)</f>
        <v/>
      </c>
      <c r="G291">
        <f>IF('Runs'!$A$91="","",'Runs'!$A$91)</f>
        <v/>
      </c>
      <c r="H291">
        <f>IF('Batches'!$A$91="","",'Batches'!$A$91)</f>
        <v/>
      </c>
    </row>
    <row r="292">
      <c r="F292">
        <f>IF('Machines and sensors'!$A$112="","",'Machines and sensors'!$A$112)</f>
        <v/>
      </c>
      <c r="G292">
        <f>IF('Runs'!$A$92="","",'Runs'!$A$92)</f>
        <v/>
      </c>
      <c r="H292">
        <f>IF('Batches'!$A$92="","",'Batches'!$A$92)</f>
        <v/>
      </c>
    </row>
    <row r="293">
      <c r="F293">
        <f>IF('Machines and sensors'!$A$113="","",'Machines and sensors'!$A$113)</f>
        <v/>
      </c>
      <c r="G293">
        <f>IF('Runs'!$A$93="","",'Runs'!$A$93)</f>
        <v/>
      </c>
      <c r="H293">
        <f>IF('Batches'!$A$93="","",'Batches'!$A$93)</f>
        <v/>
      </c>
    </row>
    <row r="294">
      <c r="F294">
        <f>IF('Machines and sensors'!$A$114="","",'Machines and sensors'!$A$114)</f>
        <v/>
      </c>
      <c r="G294">
        <f>IF('Runs'!$A$94="","",'Runs'!$A$94)</f>
        <v/>
      </c>
      <c r="H294">
        <f>IF('Batches'!$A$94="","",'Batches'!$A$94)</f>
        <v/>
      </c>
    </row>
    <row r="295">
      <c r="F295">
        <f>IF('Machines and sensors'!$A$115="","",'Machines and sensors'!$A$115)</f>
        <v/>
      </c>
      <c r="G295">
        <f>IF('Runs'!$A$95="","",'Runs'!$A$95)</f>
        <v/>
      </c>
      <c r="H295">
        <f>IF('Batches'!$A$95="","",'Batches'!$A$95)</f>
        <v/>
      </c>
    </row>
    <row r="296">
      <c r="F296">
        <f>IF('Machines and sensors'!$A$116="","",'Machines and sensors'!$A$116)</f>
        <v/>
      </c>
      <c r="G296">
        <f>IF('Runs'!$A$96="","",'Runs'!$A$96)</f>
        <v/>
      </c>
      <c r="H296">
        <f>IF('Batches'!$A$96="","",'Batches'!$A$96)</f>
        <v/>
      </c>
    </row>
    <row r="297">
      <c r="F297">
        <f>IF('Machines and sensors'!$A$117="","",'Machines and sensors'!$A$117)</f>
        <v/>
      </c>
      <c r="G297">
        <f>IF('Runs'!$A$97="","",'Runs'!$A$97)</f>
        <v/>
      </c>
      <c r="H297">
        <f>IF('Batches'!$A$97="","",'Batches'!$A$97)</f>
        <v/>
      </c>
    </row>
    <row r="298">
      <c r="F298">
        <f>IF('Machines and sensors'!$A$118="","",'Machines and sensors'!$A$118)</f>
        <v/>
      </c>
      <c r="G298">
        <f>IF('Runs'!$A$98="","",'Runs'!$A$98)</f>
        <v/>
      </c>
      <c r="H298">
        <f>IF('Batches'!$A$98="","",'Batches'!$A$98)</f>
        <v/>
      </c>
    </row>
    <row r="299">
      <c r="F299">
        <f>IF('Machines and sensors'!$A$119="","",'Machines and sensors'!$A$119)</f>
        <v/>
      </c>
      <c r="G299">
        <f>IF('Runs'!$A$99="","",'Runs'!$A$99)</f>
        <v/>
      </c>
      <c r="H299">
        <f>IF('Batches'!$A$99="","",'Batches'!$A$99)</f>
        <v/>
      </c>
    </row>
    <row r="300">
      <c r="F300">
        <f>IF('Machines and sensors'!$A$120="","",'Machines and sensors'!$A$120)</f>
        <v/>
      </c>
      <c r="G300">
        <f>IF('Runs'!$A$100="","",'Runs'!$A$100)</f>
        <v/>
      </c>
      <c r="H300">
        <f>IF('Batches'!$A$100="","",'Batches'!$A$100)</f>
        <v/>
      </c>
    </row>
    <row r="301">
      <c r="F301">
        <f>IF('Machines and sensors'!$A$121="","",'Machines and sensors'!$A$121)</f>
        <v/>
      </c>
      <c r="G301">
        <f>IF('Runs'!$A$101="","",'Runs'!$A$101)</f>
        <v/>
      </c>
      <c r="H301">
        <f>IF('Batches'!$A$101="","",'Batches'!$A$101)</f>
        <v/>
      </c>
    </row>
    <row r="302">
      <c r="F302">
        <f>IF('Machines and sensors'!$A$122="","",'Machines and sensors'!$A$122)</f>
        <v/>
      </c>
      <c r="G302">
        <f>IF('Runs'!$A$102="","",'Runs'!$A$102)</f>
        <v/>
      </c>
      <c r="H302">
        <f>IF('Batches'!$A$102="","",'Batches'!$A$102)</f>
        <v/>
      </c>
    </row>
    <row r="303">
      <c r="F303">
        <f>IF('Machines and sensors'!$A$123="","",'Machines and sensors'!$A$123)</f>
        <v/>
      </c>
      <c r="G303">
        <f>IF('Runs'!$A$103="","",'Runs'!$A$103)</f>
        <v/>
      </c>
      <c r="H303">
        <f>IF('Batches'!$A$103="","",'Batches'!$A$103)</f>
        <v/>
      </c>
    </row>
    <row r="304">
      <c r="G304">
        <f>IF('Runs'!$A$104="","",'Runs'!$A$104)</f>
        <v/>
      </c>
      <c r="H304">
        <f>IF('Cleans'!$A$4="","",'Cleans'!$A$4)</f>
        <v/>
      </c>
    </row>
    <row r="305">
      <c r="G305">
        <f>IF('Runs'!$A$105="","",'Runs'!$A$105)</f>
        <v/>
      </c>
      <c r="H305">
        <f>IF('Cleans'!$A$5="","",'Cleans'!$A$5)</f>
        <v/>
      </c>
    </row>
    <row r="306">
      <c r="G306">
        <f>IF('Runs'!$A$106="","",'Runs'!$A$106)</f>
        <v/>
      </c>
      <c r="H306">
        <f>IF('Cleans'!$A$6="","",'Cleans'!$A$6)</f>
        <v/>
      </c>
    </row>
    <row r="307">
      <c r="G307">
        <f>IF('Runs'!$A$107="","",'Runs'!$A$107)</f>
        <v/>
      </c>
      <c r="H307">
        <f>IF('Cleans'!$A$7="","",'Cleans'!$A$7)</f>
        <v/>
      </c>
    </row>
    <row r="308">
      <c r="G308">
        <f>IF('Runs'!$A$108="","",'Runs'!$A$108)</f>
        <v/>
      </c>
      <c r="H308">
        <f>IF('Cleans'!$A$8="","",'Cleans'!$A$8)</f>
        <v/>
      </c>
    </row>
    <row r="309">
      <c r="G309">
        <f>IF('Runs'!$A$109="","",'Runs'!$A$109)</f>
        <v/>
      </c>
      <c r="H309">
        <f>IF('Cleans'!$A$9="","",'Cleans'!$A$9)</f>
        <v/>
      </c>
    </row>
    <row r="310">
      <c r="G310">
        <f>IF('Runs'!$A$110="","",'Runs'!$A$110)</f>
        <v/>
      </c>
      <c r="H310">
        <f>IF('Cleans'!$A$10="","",'Cleans'!$A$10)</f>
        <v/>
      </c>
    </row>
    <row r="311">
      <c r="G311">
        <f>IF('Runs'!$A$111="","",'Runs'!$A$111)</f>
        <v/>
      </c>
      <c r="H311">
        <f>IF('Cleans'!$A$11="","",'Cleans'!$A$11)</f>
        <v/>
      </c>
    </row>
    <row r="312">
      <c r="G312">
        <f>IF('Runs'!$A$112="","",'Runs'!$A$112)</f>
        <v/>
      </c>
      <c r="H312">
        <f>IF('Cleans'!$A$12="","",'Cleans'!$A$12)</f>
        <v/>
      </c>
    </row>
    <row r="313">
      <c r="G313">
        <f>IF('Runs'!$A$113="","",'Runs'!$A$113)</f>
        <v/>
      </c>
      <c r="H313">
        <f>IF('Cleans'!$A$13="","",'Cleans'!$A$13)</f>
        <v/>
      </c>
    </row>
    <row r="314">
      <c r="G314">
        <f>IF('Runs'!$A$114="","",'Runs'!$A$114)</f>
        <v/>
      </c>
      <c r="H314">
        <f>IF('Cleans'!$A$14="","",'Cleans'!$A$14)</f>
        <v/>
      </c>
    </row>
    <row r="315">
      <c r="G315">
        <f>IF('Runs'!$A$115="","",'Runs'!$A$115)</f>
        <v/>
      </c>
      <c r="H315">
        <f>IF('Cleans'!$A$15="","",'Cleans'!$A$15)</f>
        <v/>
      </c>
    </row>
    <row r="316">
      <c r="G316">
        <f>IF('Runs'!$A$116="","",'Runs'!$A$116)</f>
        <v/>
      </c>
      <c r="H316">
        <f>IF('Cleans'!$A$16="","",'Cleans'!$A$16)</f>
        <v/>
      </c>
    </row>
    <row r="317">
      <c r="G317">
        <f>IF('Runs'!$A$117="","",'Runs'!$A$117)</f>
        <v/>
      </c>
      <c r="H317">
        <f>IF('Cleans'!$A$17="","",'Cleans'!$A$17)</f>
        <v/>
      </c>
    </row>
    <row r="318">
      <c r="G318">
        <f>IF('Runs'!$A$118="","",'Runs'!$A$118)</f>
        <v/>
      </c>
      <c r="H318">
        <f>IF('Cleans'!$A$18="","",'Cleans'!$A$18)</f>
        <v/>
      </c>
    </row>
    <row r="319">
      <c r="G319">
        <f>IF('Runs'!$A$119="","",'Runs'!$A$119)</f>
        <v/>
      </c>
      <c r="H319">
        <f>IF('Cleans'!$A$19="","",'Cleans'!$A$19)</f>
        <v/>
      </c>
    </row>
    <row r="320">
      <c r="G320">
        <f>IF('Runs'!$A$120="","",'Runs'!$A$120)</f>
        <v/>
      </c>
      <c r="H320">
        <f>IF('Cleans'!$A$20="","",'Cleans'!$A$20)</f>
        <v/>
      </c>
    </row>
    <row r="321">
      <c r="G321">
        <f>IF('Runs'!$A$121="","",'Runs'!$A$121)</f>
        <v/>
      </c>
      <c r="H321">
        <f>IF('Cleans'!$A$21="","",'Cleans'!$A$21)</f>
        <v/>
      </c>
    </row>
    <row r="322">
      <c r="G322">
        <f>IF('Runs'!$A$122="","",'Runs'!$A$122)</f>
        <v/>
      </c>
      <c r="H322">
        <f>IF('Cleans'!$A$22="","",'Cleans'!$A$22)</f>
        <v/>
      </c>
    </row>
    <row r="323">
      <c r="G323">
        <f>IF('Runs'!$A$123="","",'Runs'!$A$123)</f>
        <v/>
      </c>
      <c r="H323">
        <f>IF('Cleans'!$A$23="","",'Cleans'!$A$23)</f>
        <v/>
      </c>
    </row>
    <row r="324">
      <c r="G324">
        <f>IF('Batches'!$A$4="","",'Batches'!$A$4)</f>
        <v/>
      </c>
      <c r="H324">
        <f>IF('Cleans'!$A$24="","",'Cleans'!$A$24)</f>
        <v/>
      </c>
    </row>
    <row r="325">
      <c r="G325">
        <f>IF('Batches'!$A$5="","",'Batches'!$A$5)</f>
        <v/>
      </c>
      <c r="H325">
        <f>IF('Cleans'!$A$25="","",'Cleans'!$A$25)</f>
        <v/>
      </c>
    </row>
    <row r="326">
      <c r="G326">
        <f>IF('Batches'!$A$6="","",'Batches'!$A$6)</f>
        <v/>
      </c>
      <c r="H326">
        <f>IF('Cleans'!$A$26="","",'Cleans'!$A$26)</f>
        <v/>
      </c>
    </row>
    <row r="327">
      <c r="G327">
        <f>IF('Batches'!$A$7="","",'Batches'!$A$7)</f>
        <v/>
      </c>
      <c r="H327">
        <f>IF('Cleans'!$A$27="","",'Cleans'!$A$27)</f>
        <v/>
      </c>
    </row>
    <row r="328">
      <c r="G328">
        <f>IF('Batches'!$A$8="","",'Batches'!$A$8)</f>
        <v/>
      </c>
      <c r="H328">
        <f>IF('Cleans'!$A$28="","",'Cleans'!$A$28)</f>
        <v/>
      </c>
    </row>
    <row r="329">
      <c r="G329">
        <f>IF('Batches'!$A$9="","",'Batches'!$A$9)</f>
        <v/>
      </c>
      <c r="H329">
        <f>IF('Cleans'!$A$29="","",'Cleans'!$A$29)</f>
        <v/>
      </c>
    </row>
    <row r="330">
      <c r="G330">
        <f>IF('Batches'!$A$10="","",'Batches'!$A$10)</f>
        <v/>
      </c>
      <c r="H330">
        <f>IF('Cleans'!$A$30="","",'Cleans'!$A$30)</f>
        <v/>
      </c>
    </row>
    <row r="331">
      <c r="G331">
        <f>IF('Batches'!$A$11="","",'Batches'!$A$11)</f>
        <v/>
      </c>
      <c r="H331">
        <f>IF('Cleans'!$A$31="","",'Cleans'!$A$31)</f>
        <v/>
      </c>
    </row>
    <row r="332">
      <c r="G332">
        <f>IF('Batches'!$A$12="","",'Batches'!$A$12)</f>
        <v/>
      </c>
      <c r="H332">
        <f>IF('Cleans'!$A$32="","",'Cleans'!$A$32)</f>
        <v/>
      </c>
    </row>
    <row r="333">
      <c r="G333">
        <f>IF('Batches'!$A$13="","",'Batches'!$A$13)</f>
        <v/>
      </c>
      <c r="H333">
        <f>IF('Cleans'!$A$33="","",'Cleans'!$A$33)</f>
        <v/>
      </c>
    </row>
    <row r="334">
      <c r="G334">
        <f>IF('Batches'!$A$14="","",'Batches'!$A$14)</f>
        <v/>
      </c>
      <c r="H334">
        <f>IF('Cleans'!$A$34="","",'Cleans'!$A$34)</f>
        <v/>
      </c>
    </row>
    <row r="335">
      <c r="G335">
        <f>IF('Batches'!$A$15="","",'Batches'!$A$15)</f>
        <v/>
      </c>
      <c r="H335">
        <f>IF('Cleans'!$A$35="","",'Cleans'!$A$35)</f>
        <v/>
      </c>
    </row>
    <row r="336">
      <c r="G336">
        <f>IF('Batches'!$A$16="","",'Batches'!$A$16)</f>
        <v/>
      </c>
      <c r="H336">
        <f>IF('Cleans'!$A$36="","",'Cleans'!$A$36)</f>
        <v/>
      </c>
    </row>
    <row r="337">
      <c r="G337">
        <f>IF('Batches'!$A$17="","",'Batches'!$A$17)</f>
        <v/>
      </c>
      <c r="H337">
        <f>IF('Cleans'!$A$37="","",'Cleans'!$A$37)</f>
        <v/>
      </c>
    </row>
    <row r="338">
      <c r="G338">
        <f>IF('Batches'!$A$18="","",'Batches'!$A$18)</f>
        <v/>
      </c>
      <c r="H338">
        <f>IF('Cleans'!$A$38="","",'Cleans'!$A$38)</f>
        <v/>
      </c>
    </row>
    <row r="339">
      <c r="G339">
        <f>IF('Batches'!$A$19="","",'Batches'!$A$19)</f>
        <v/>
      </c>
      <c r="H339">
        <f>IF('Cleans'!$A$39="","",'Cleans'!$A$39)</f>
        <v/>
      </c>
    </row>
    <row r="340">
      <c r="G340">
        <f>IF('Batches'!$A$20="","",'Batches'!$A$20)</f>
        <v/>
      </c>
      <c r="H340">
        <f>IF('Cleans'!$A$40="","",'Cleans'!$A$40)</f>
        <v/>
      </c>
    </row>
    <row r="341">
      <c r="G341">
        <f>IF('Batches'!$A$21="","",'Batches'!$A$21)</f>
        <v/>
      </c>
      <c r="H341">
        <f>IF('Cleans'!$A$41="","",'Cleans'!$A$41)</f>
        <v/>
      </c>
    </row>
    <row r="342">
      <c r="G342">
        <f>IF('Batches'!$A$22="","",'Batches'!$A$22)</f>
        <v/>
      </c>
      <c r="H342">
        <f>IF('Cleans'!$A$42="","",'Cleans'!$A$42)</f>
        <v/>
      </c>
    </row>
    <row r="343">
      <c r="G343">
        <f>IF('Batches'!$A$23="","",'Batches'!$A$23)</f>
        <v/>
      </c>
      <c r="H343">
        <f>IF('Cleans'!$A$43="","",'Cleans'!$A$43)</f>
        <v/>
      </c>
    </row>
    <row r="344">
      <c r="G344">
        <f>IF('Batches'!$A$24="","",'Batches'!$A$24)</f>
        <v/>
      </c>
      <c r="H344">
        <f>IF('Cleans'!$A$44="","",'Cleans'!$A$44)</f>
        <v/>
      </c>
    </row>
    <row r="345">
      <c r="G345">
        <f>IF('Batches'!$A$25="","",'Batches'!$A$25)</f>
        <v/>
      </c>
      <c r="H345">
        <f>IF('Cleans'!$A$45="","",'Cleans'!$A$45)</f>
        <v/>
      </c>
    </row>
    <row r="346">
      <c r="G346">
        <f>IF('Batches'!$A$26="","",'Batches'!$A$26)</f>
        <v/>
      </c>
      <c r="H346">
        <f>IF('Cleans'!$A$46="","",'Cleans'!$A$46)</f>
        <v/>
      </c>
    </row>
    <row r="347">
      <c r="G347">
        <f>IF('Batches'!$A$27="","",'Batches'!$A$27)</f>
        <v/>
      </c>
      <c r="H347">
        <f>IF('Cleans'!$A$47="","",'Cleans'!$A$47)</f>
        <v/>
      </c>
    </row>
    <row r="348">
      <c r="G348">
        <f>IF('Batches'!$A$28="","",'Batches'!$A$28)</f>
        <v/>
      </c>
      <c r="H348">
        <f>IF('Cleans'!$A$48="","",'Cleans'!$A$48)</f>
        <v/>
      </c>
    </row>
    <row r="349">
      <c r="G349">
        <f>IF('Batches'!$A$29="","",'Batches'!$A$29)</f>
        <v/>
      </c>
      <c r="H349">
        <f>IF('Cleans'!$A$49="","",'Cleans'!$A$49)</f>
        <v/>
      </c>
    </row>
    <row r="350">
      <c r="G350">
        <f>IF('Batches'!$A$30="","",'Batches'!$A$30)</f>
        <v/>
      </c>
      <c r="H350">
        <f>IF('Cleans'!$A$50="","",'Cleans'!$A$50)</f>
        <v/>
      </c>
    </row>
    <row r="351">
      <c r="G351">
        <f>IF('Batches'!$A$31="","",'Batches'!$A$31)</f>
        <v/>
      </c>
      <c r="H351">
        <f>IF('Cleans'!$A$51="","",'Cleans'!$A$51)</f>
        <v/>
      </c>
    </row>
    <row r="352">
      <c r="G352">
        <f>IF('Batches'!$A$32="","",'Batches'!$A$32)</f>
        <v/>
      </c>
      <c r="H352">
        <f>IF('Cleans'!$A$52="","",'Cleans'!$A$52)</f>
        <v/>
      </c>
    </row>
    <row r="353">
      <c r="G353">
        <f>IF('Batches'!$A$33="","",'Batches'!$A$33)</f>
        <v/>
      </c>
      <c r="H353">
        <f>IF('Cleans'!$A$53="","",'Cleans'!$A$53)</f>
        <v/>
      </c>
    </row>
    <row r="354">
      <c r="G354">
        <f>IF('Batches'!$A$34="","",'Batches'!$A$34)</f>
        <v/>
      </c>
      <c r="H354">
        <f>IF('Cleans'!$A$54="","",'Cleans'!$A$54)</f>
        <v/>
      </c>
    </row>
    <row r="355">
      <c r="G355">
        <f>IF('Batches'!$A$35="","",'Batches'!$A$35)</f>
        <v/>
      </c>
      <c r="H355">
        <f>IF('Cleans'!$A$55="","",'Cleans'!$A$55)</f>
        <v/>
      </c>
    </row>
    <row r="356">
      <c r="G356">
        <f>IF('Batches'!$A$36="","",'Batches'!$A$36)</f>
        <v/>
      </c>
      <c r="H356">
        <f>IF('Cleans'!$A$56="","",'Cleans'!$A$56)</f>
        <v/>
      </c>
    </row>
    <row r="357">
      <c r="G357">
        <f>IF('Batches'!$A$37="","",'Batches'!$A$37)</f>
        <v/>
      </c>
      <c r="H357">
        <f>IF('Cleans'!$A$57="","",'Cleans'!$A$57)</f>
        <v/>
      </c>
    </row>
    <row r="358">
      <c r="G358">
        <f>IF('Batches'!$A$38="","",'Batches'!$A$38)</f>
        <v/>
      </c>
      <c r="H358">
        <f>IF('Cleans'!$A$58="","",'Cleans'!$A$58)</f>
        <v/>
      </c>
    </row>
    <row r="359">
      <c r="G359">
        <f>IF('Batches'!$A$39="","",'Batches'!$A$39)</f>
        <v/>
      </c>
      <c r="H359">
        <f>IF('Cleans'!$A$59="","",'Cleans'!$A$59)</f>
        <v/>
      </c>
    </row>
    <row r="360">
      <c r="G360">
        <f>IF('Batches'!$A$40="","",'Batches'!$A$40)</f>
        <v/>
      </c>
      <c r="H360">
        <f>IF('Cleans'!$A$60="","",'Cleans'!$A$60)</f>
        <v/>
      </c>
    </row>
    <row r="361">
      <c r="G361">
        <f>IF('Batches'!$A$41="","",'Batches'!$A$41)</f>
        <v/>
      </c>
      <c r="H361">
        <f>IF('Cleans'!$A$61="","",'Cleans'!$A$61)</f>
        <v/>
      </c>
    </row>
    <row r="362">
      <c r="G362">
        <f>IF('Batches'!$A$42="","",'Batches'!$A$42)</f>
        <v/>
      </c>
      <c r="H362">
        <f>IF('Cleans'!$A$62="","",'Cleans'!$A$62)</f>
        <v/>
      </c>
    </row>
    <row r="363">
      <c r="G363">
        <f>IF('Batches'!$A$43="","",'Batches'!$A$43)</f>
        <v/>
      </c>
      <c r="H363">
        <f>IF('Cleans'!$A$63="","",'Cleans'!$A$63)</f>
        <v/>
      </c>
    </row>
    <row r="364">
      <c r="G364">
        <f>IF('Batches'!$A$44="","",'Batches'!$A$44)</f>
        <v/>
      </c>
      <c r="H364">
        <f>IF('Cleans'!$A$64="","",'Cleans'!$A$64)</f>
        <v/>
      </c>
    </row>
    <row r="365">
      <c r="G365">
        <f>IF('Batches'!$A$45="","",'Batches'!$A$45)</f>
        <v/>
      </c>
      <c r="H365">
        <f>IF('Cleans'!$A$65="","",'Cleans'!$A$65)</f>
        <v/>
      </c>
    </row>
    <row r="366">
      <c r="G366">
        <f>IF('Batches'!$A$46="","",'Batches'!$A$46)</f>
        <v/>
      </c>
      <c r="H366">
        <f>IF('Cleans'!$A$66="","",'Cleans'!$A$66)</f>
        <v/>
      </c>
    </row>
    <row r="367">
      <c r="G367">
        <f>IF('Batches'!$A$47="","",'Batches'!$A$47)</f>
        <v/>
      </c>
      <c r="H367">
        <f>IF('Cleans'!$A$67="","",'Cleans'!$A$67)</f>
        <v/>
      </c>
    </row>
    <row r="368">
      <c r="G368">
        <f>IF('Batches'!$A$48="","",'Batches'!$A$48)</f>
        <v/>
      </c>
      <c r="H368">
        <f>IF('Cleans'!$A$68="","",'Cleans'!$A$68)</f>
        <v/>
      </c>
    </row>
    <row r="369">
      <c r="G369">
        <f>IF('Batches'!$A$49="","",'Batches'!$A$49)</f>
        <v/>
      </c>
      <c r="H369">
        <f>IF('Cleans'!$A$69="","",'Cleans'!$A$69)</f>
        <v/>
      </c>
    </row>
    <row r="370">
      <c r="G370">
        <f>IF('Batches'!$A$50="","",'Batches'!$A$50)</f>
        <v/>
      </c>
      <c r="H370">
        <f>IF('Cleans'!$A$70="","",'Cleans'!$A$70)</f>
        <v/>
      </c>
    </row>
    <row r="371">
      <c r="G371">
        <f>IF('Batches'!$A$51="","",'Batches'!$A$51)</f>
        <v/>
      </c>
      <c r="H371">
        <f>IF('Cleans'!$A$71="","",'Cleans'!$A$71)</f>
        <v/>
      </c>
    </row>
    <row r="372">
      <c r="G372">
        <f>IF('Batches'!$A$52="","",'Batches'!$A$52)</f>
        <v/>
      </c>
      <c r="H372">
        <f>IF('Cleans'!$A$72="","",'Cleans'!$A$72)</f>
        <v/>
      </c>
    </row>
    <row r="373">
      <c r="G373">
        <f>IF('Batches'!$A$53="","",'Batches'!$A$53)</f>
        <v/>
      </c>
      <c r="H373">
        <f>IF('Cleans'!$A$73="","",'Cleans'!$A$73)</f>
        <v/>
      </c>
    </row>
    <row r="374">
      <c r="G374">
        <f>IF('Batches'!$A$54="","",'Batches'!$A$54)</f>
        <v/>
      </c>
      <c r="H374">
        <f>IF('Cleans'!$A$74="","",'Cleans'!$A$74)</f>
        <v/>
      </c>
    </row>
    <row r="375">
      <c r="G375">
        <f>IF('Batches'!$A$55="","",'Batches'!$A$55)</f>
        <v/>
      </c>
      <c r="H375">
        <f>IF('Cleans'!$A$75="","",'Cleans'!$A$75)</f>
        <v/>
      </c>
    </row>
    <row r="376">
      <c r="G376">
        <f>IF('Batches'!$A$56="","",'Batches'!$A$56)</f>
        <v/>
      </c>
      <c r="H376">
        <f>IF('Cleans'!$A$76="","",'Cleans'!$A$76)</f>
        <v/>
      </c>
    </row>
    <row r="377">
      <c r="G377">
        <f>IF('Batches'!$A$57="","",'Batches'!$A$57)</f>
        <v/>
      </c>
      <c r="H377">
        <f>IF('Cleans'!$A$77="","",'Cleans'!$A$77)</f>
        <v/>
      </c>
    </row>
    <row r="378">
      <c r="G378">
        <f>IF('Batches'!$A$58="","",'Batches'!$A$58)</f>
        <v/>
      </c>
      <c r="H378">
        <f>IF('Cleans'!$A$78="","",'Cleans'!$A$78)</f>
        <v/>
      </c>
    </row>
    <row r="379">
      <c r="G379">
        <f>IF('Batches'!$A$59="","",'Batches'!$A$59)</f>
        <v/>
      </c>
      <c r="H379">
        <f>IF('Cleans'!$A$79="","",'Cleans'!$A$79)</f>
        <v/>
      </c>
    </row>
    <row r="380">
      <c r="G380">
        <f>IF('Batches'!$A$60="","",'Batches'!$A$60)</f>
        <v/>
      </c>
      <c r="H380">
        <f>IF('Cleans'!$A$80="","",'Cleans'!$A$80)</f>
        <v/>
      </c>
    </row>
    <row r="381">
      <c r="G381">
        <f>IF('Batches'!$A$61="","",'Batches'!$A$61)</f>
        <v/>
      </c>
      <c r="H381">
        <f>IF('Cleans'!$A$81="","",'Cleans'!$A$81)</f>
        <v/>
      </c>
    </row>
    <row r="382">
      <c r="G382">
        <f>IF('Batches'!$A$62="","",'Batches'!$A$62)</f>
        <v/>
      </c>
      <c r="H382">
        <f>IF('Cleans'!$A$82="","",'Cleans'!$A$82)</f>
        <v/>
      </c>
    </row>
    <row r="383">
      <c r="G383">
        <f>IF('Batches'!$A$63="","",'Batches'!$A$63)</f>
        <v/>
      </c>
      <c r="H383">
        <f>IF('Cleans'!$A$83="","",'Cleans'!$A$83)</f>
        <v/>
      </c>
    </row>
    <row r="384">
      <c r="G384">
        <f>IF('Incoming lots'!$A$4="","",'Incoming lots'!$A$4)</f>
        <v/>
      </c>
      <c r="H384">
        <f>IF('Cleans'!$A$84="","",'Cleans'!$A$84)</f>
        <v/>
      </c>
    </row>
    <row r="385">
      <c r="G385">
        <f>IF('Incoming lots'!$A$5="","",'Incoming lots'!$A$5)</f>
        <v/>
      </c>
      <c r="H385">
        <f>IF('Cleans'!$A$85="","",'Cleans'!$A$85)</f>
        <v/>
      </c>
    </row>
    <row r="386">
      <c r="G386">
        <f>IF('Incoming lots'!$A$6="","",'Incoming lots'!$A$6)</f>
        <v/>
      </c>
      <c r="H386">
        <f>IF('Cleans'!$A$86="","",'Cleans'!$A$86)</f>
        <v/>
      </c>
    </row>
    <row r="387">
      <c r="G387">
        <f>IF('Incoming lots'!$A$7="","",'Incoming lots'!$A$7)</f>
        <v/>
      </c>
      <c r="H387">
        <f>IF('Cleans'!$A$87="","",'Cleans'!$A$87)</f>
        <v/>
      </c>
    </row>
    <row r="388">
      <c r="G388">
        <f>IF('Incoming lots'!$A$8="","",'Incoming lots'!$A$8)</f>
        <v/>
      </c>
      <c r="H388">
        <f>IF('Cleans'!$A$88="","",'Cleans'!$A$88)</f>
        <v/>
      </c>
    </row>
    <row r="389">
      <c r="G389">
        <f>IF('Incoming lots'!$A$9="","",'Incoming lots'!$A$9)</f>
        <v/>
      </c>
      <c r="H389">
        <f>IF('Cleans'!$A$89="","",'Cleans'!$A$89)</f>
        <v/>
      </c>
    </row>
    <row r="390">
      <c r="G390">
        <f>IF('Incoming lots'!$A$10="","",'Incoming lots'!$A$10)</f>
        <v/>
      </c>
      <c r="H390">
        <f>IF('Cleans'!$A$90="","",'Cleans'!$A$90)</f>
        <v/>
      </c>
    </row>
    <row r="391">
      <c r="G391">
        <f>IF('Incoming lots'!$A$11="","",'Incoming lots'!$A$11)</f>
        <v/>
      </c>
      <c r="H391">
        <f>IF('Cleans'!$A$91="","",'Cleans'!$A$91)</f>
        <v/>
      </c>
    </row>
    <row r="392">
      <c r="G392">
        <f>IF('Incoming lots'!$A$12="","",'Incoming lots'!$A$12)</f>
        <v/>
      </c>
      <c r="H392">
        <f>IF('Cleans'!$A$92="","",'Cleans'!$A$92)</f>
        <v/>
      </c>
    </row>
    <row r="393">
      <c r="G393">
        <f>IF('Incoming lots'!$A$13="","",'Incoming lots'!$A$13)</f>
        <v/>
      </c>
      <c r="H393">
        <f>IF('Cleans'!$A$93="","",'Cleans'!$A$93)</f>
        <v/>
      </c>
    </row>
    <row r="394">
      <c r="G394">
        <f>IF('Incoming lots'!$A$14="","",'Incoming lots'!$A$14)</f>
        <v/>
      </c>
      <c r="H394">
        <f>IF('Cleans'!$A$94="","",'Cleans'!$A$94)</f>
        <v/>
      </c>
    </row>
    <row r="395">
      <c r="G395">
        <f>IF('Incoming lots'!$A$15="","",'Incoming lots'!$A$15)</f>
        <v/>
      </c>
      <c r="H395">
        <f>IF('Cleans'!$A$95="","",'Cleans'!$A$95)</f>
        <v/>
      </c>
    </row>
    <row r="396">
      <c r="G396">
        <f>IF('Incoming lots'!$A$16="","",'Incoming lots'!$A$16)</f>
        <v/>
      </c>
      <c r="H396">
        <f>IF('Cleans'!$A$96="","",'Cleans'!$A$96)</f>
        <v/>
      </c>
    </row>
    <row r="397">
      <c r="G397">
        <f>IF('Incoming lots'!$A$17="","",'Incoming lots'!$A$17)</f>
        <v/>
      </c>
      <c r="H397">
        <f>IF('Cleans'!$A$97="","",'Cleans'!$A$97)</f>
        <v/>
      </c>
    </row>
    <row r="398">
      <c r="G398">
        <f>IF('Incoming lots'!$A$18="","",'Incoming lots'!$A$18)</f>
        <v/>
      </c>
      <c r="H398">
        <f>IF('Cleans'!$A$98="","",'Cleans'!$A$98)</f>
        <v/>
      </c>
    </row>
    <row r="399">
      <c r="G399">
        <f>IF('Incoming lots'!$A$19="","",'Incoming lots'!$A$19)</f>
        <v/>
      </c>
      <c r="H399">
        <f>IF('Cleans'!$A$99="","",'Cleans'!$A$99)</f>
        <v/>
      </c>
    </row>
    <row r="400">
      <c r="G400">
        <f>IF('Incoming lots'!$A$20="","",'Incoming lots'!$A$20)</f>
        <v/>
      </c>
      <c r="H400">
        <f>IF('Cleans'!$A$100="","",'Cleans'!$A$100)</f>
        <v/>
      </c>
    </row>
    <row r="401">
      <c r="G401">
        <f>IF('Incoming lots'!$A$21="","",'Incoming lots'!$A$21)</f>
        <v/>
      </c>
      <c r="H401">
        <f>IF('Cleans'!$A$101="","",'Cleans'!$A$101)</f>
        <v/>
      </c>
    </row>
    <row r="402">
      <c r="G402">
        <f>IF('Incoming lots'!$A$22="","",'Incoming lots'!$A$22)</f>
        <v/>
      </c>
      <c r="H402">
        <f>IF('Cleans'!$A$102="","",'Cleans'!$A$102)</f>
        <v/>
      </c>
    </row>
    <row r="403">
      <c r="G403">
        <f>IF('Incoming lots'!$A$23="","",'Incoming lots'!$A$23)</f>
        <v/>
      </c>
      <c r="H403">
        <f>IF('Cleans'!$A$103="","",'Cleans'!$A$103)</f>
        <v/>
      </c>
    </row>
    <row r="404">
      <c r="G404">
        <f>IF('Incoming lots'!$A$24="","",'Incoming lots'!$A$24)</f>
        <v/>
      </c>
    </row>
    <row r="405">
      <c r="G405">
        <f>IF('Incoming lots'!$A$25="","",'Incoming lots'!$A$25)</f>
        <v/>
      </c>
    </row>
    <row r="406">
      <c r="G406">
        <f>IF('Incoming lots'!$A$26="","",'Incoming lots'!$A$26)</f>
        <v/>
      </c>
    </row>
    <row r="407">
      <c r="G407">
        <f>IF('Incoming lots'!$A$27="","",'Incoming lots'!$A$27)</f>
        <v/>
      </c>
    </row>
    <row r="408">
      <c r="G408">
        <f>IF('Incoming lots'!$A$28="","",'Incoming lots'!$A$28)</f>
        <v/>
      </c>
    </row>
    <row r="409">
      <c r="G409">
        <f>IF('Incoming lots'!$A$29="","",'Incoming lots'!$A$29)</f>
        <v/>
      </c>
    </row>
    <row r="410">
      <c r="G410">
        <f>IF('Incoming lots'!$A$30="","",'Incoming lots'!$A$30)</f>
        <v/>
      </c>
    </row>
    <row r="411">
      <c r="G411">
        <f>IF('Incoming lots'!$A$31="","",'Incoming lots'!$A$31)</f>
        <v/>
      </c>
    </row>
    <row r="412">
      <c r="G412">
        <f>IF('Incoming lots'!$A$32="","",'Incoming lots'!$A$32)</f>
        <v/>
      </c>
    </row>
    <row r="413">
      <c r="G413">
        <f>IF('Incoming lots'!$A$33="","",'Incoming lots'!$A$33)</f>
        <v/>
      </c>
    </row>
    <row r="414">
      <c r="G414">
        <f>IF('Incoming lots'!$A$34="","",'Incoming lots'!$A$34)</f>
        <v/>
      </c>
    </row>
    <row r="415">
      <c r="G415">
        <f>IF('Incoming lots'!$A$35="","",'Incoming lots'!$A$35)</f>
        <v/>
      </c>
    </row>
    <row r="416">
      <c r="G416">
        <f>IF('Incoming lots'!$A$36="","",'Incoming lots'!$A$36)</f>
        <v/>
      </c>
    </row>
    <row r="417">
      <c r="G417">
        <f>IF('Incoming lots'!$A$37="","",'Incoming lots'!$A$37)</f>
        <v/>
      </c>
    </row>
    <row r="418">
      <c r="G418">
        <f>IF('Incoming lots'!$A$38="","",'Incoming lots'!$A$38)</f>
        <v/>
      </c>
    </row>
    <row r="419">
      <c r="G419">
        <f>IF('Incoming lots'!$A$39="","",'Incoming lots'!$A$39)</f>
        <v/>
      </c>
    </row>
    <row r="420">
      <c r="G420">
        <f>IF('Incoming lots'!$A$40="","",'Incoming lots'!$A$40)</f>
        <v/>
      </c>
    </row>
    <row r="421">
      <c r="G421">
        <f>IF('Incoming lots'!$A$41="","",'Incoming lots'!$A$41)</f>
        <v/>
      </c>
    </row>
    <row r="422">
      <c r="G422">
        <f>IF('Incoming lots'!$A$42="","",'Incoming lots'!$A$42)</f>
        <v/>
      </c>
    </row>
    <row r="423">
      <c r="G423">
        <f>IF('Incoming lots'!$A$43="","",'Incoming lots'!$A$43)</f>
        <v/>
      </c>
    </row>
    <row r="424">
      <c r="G424">
        <f>IF('Incoming lots'!$A$44="","",'Incoming lots'!$A$44)</f>
        <v/>
      </c>
    </row>
    <row r="425">
      <c r="G425">
        <f>IF('Incoming lots'!$A$45="","",'Incoming lots'!$A$45)</f>
        <v/>
      </c>
    </row>
    <row r="426">
      <c r="G426">
        <f>IF('Incoming lots'!$A$46="","",'Incoming lots'!$A$46)</f>
        <v/>
      </c>
    </row>
    <row r="427">
      <c r="G427">
        <f>IF('Incoming lots'!$A$47="","",'Incoming lots'!$A$47)</f>
        <v/>
      </c>
    </row>
    <row r="428">
      <c r="G428">
        <f>IF('Incoming lots'!$A$48="","",'Incoming lots'!$A$48)</f>
        <v/>
      </c>
    </row>
    <row r="429">
      <c r="G429">
        <f>IF('Incoming lots'!$A$49="","",'Incoming lots'!$A$49)</f>
        <v/>
      </c>
    </row>
    <row r="430">
      <c r="G430">
        <f>IF('Incoming lots'!$A$50="","",'Incoming lots'!$A$50)</f>
        <v/>
      </c>
    </row>
    <row r="431">
      <c r="G431">
        <f>IF('Incoming lots'!$A$51="","",'Incoming lots'!$A$51)</f>
        <v/>
      </c>
    </row>
    <row r="432">
      <c r="G432">
        <f>IF('Incoming lots'!$A$52="","",'Incoming lots'!$A$52)</f>
        <v/>
      </c>
    </row>
    <row r="433">
      <c r="G433">
        <f>IF('Incoming lots'!$A$53="","",'Incoming lots'!$A$53)</f>
        <v/>
      </c>
    </row>
    <row r="434">
      <c r="G434">
        <f>IF('Incoming lots'!$A$54="","",'Incoming lots'!$A$54)</f>
        <v/>
      </c>
    </row>
    <row r="435">
      <c r="G435">
        <f>IF('Incoming lots'!$A$55="","",'Incoming lots'!$A$55)</f>
        <v/>
      </c>
    </row>
    <row r="436">
      <c r="G436">
        <f>IF('Incoming lots'!$A$56="","",'Incoming lots'!$A$56)</f>
        <v/>
      </c>
    </row>
    <row r="437">
      <c r="G437">
        <f>IF('Incoming lots'!$A$57="","",'Incoming lots'!$A$57)</f>
        <v/>
      </c>
    </row>
    <row r="438">
      <c r="G438">
        <f>IF('Incoming lots'!$A$58="","",'Incoming lots'!$A$58)</f>
        <v/>
      </c>
    </row>
    <row r="439">
      <c r="G439">
        <f>IF('Incoming lots'!$A$59="","",'Incoming lots'!$A$59)</f>
        <v/>
      </c>
    </row>
    <row r="440">
      <c r="G440">
        <f>IF('Incoming lots'!$A$60="","",'Incoming lots'!$A$60)</f>
        <v/>
      </c>
    </row>
    <row r="441">
      <c r="G441">
        <f>IF('Incoming lots'!$A$61="","",'Incoming lots'!$A$61)</f>
        <v/>
      </c>
    </row>
    <row r="442">
      <c r="G442">
        <f>IF('Incoming lots'!$A$62="","",'Incoming lots'!$A$62)</f>
        <v/>
      </c>
    </row>
    <row r="443">
      <c r="G443">
        <f>IF('Incoming lots'!$A$63="","",'Incoming lots'!$A$63)</f>
        <v/>
      </c>
    </row>
    <row r="444">
      <c r="G444">
        <f>IF('Incoming lots'!$A$64="","",'Incoming lots'!$A$64)</f>
        <v/>
      </c>
    </row>
    <row r="445">
      <c r="G445">
        <f>IF('Incoming lots'!$A$65="","",'Incoming lots'!$A$65)</f>
        <v/>
      </c>
    </row>
    <row r="446">
      <c r="G446">
        <f>IF('Incoming lots'!$A$66="","",'Incoming lots'!$A$66)</f>
        <v/>
      </c>
    </row>
    <row r="447">
      <c r="G447">
        <f>IF('Incoming lots'!$A$67="","",'Incoming lots'!$A$67)</f>
        <v/>
      </c>
    </row>
    <row r="448">
      <c r="G448">
        <f>IF('Incoming lots'!$A$68="","",'Incoming lots'!$A$68)</f>
        <v/>
      </c>
    </row>
    <row r="449">
      <c r="G449">
        <f>IF('Incoming lots'!$A$69="","",'Incoming lots'!$A$69)</f>
        <v/>
      </c>
    </row>
    <row r="450">
      <c r="G450">
        <f>IF('Incoming lots'!$A$70="","",'Incoming lots'!$A$70)</f>
        <v/>
      </c>
    </row>
    <row r="451">
      <c r="G451">
        <f>IF('Incoming lots'!$A$71="","",'Incoming lots'!$A$71)</f>
        <v/>
      </c>
    </row>
    <row r="452">
      <c r="G452">
        <f>IF('Incoming lots'!$A$72="","",'Incoming lots'!$A$72)</f>
        <v/>
      </c>
    </row>
    <row r="453">
      <c r="G453">
        <f>IF('Incoming lots'!$A$73="","",'Incoming lots'!$A$73)</f>
        <v/>
      </c>
    </row>
    <row r="454">
      <c r="G454">
        <f>IF('Incoming lots'!$A$74="","",'Incoming lots'!$A$74)</f>
        <v/>
      </c>
    </row>
    <row r="455">
      <c r="G455">
        <f>IF('Incoming lots'!$A$75="","",'Incoming lots'!$A$75)</f>
        <v/>
      </c>
    </row>
    <row r="456">
      <c r="G456">
        <f>IF('Incoming lots'!$A$76="","",'Incoming lots'!$A$76)</f>
        <v/>
      </c>
    </row>
    <row r="457">
      <c r="G457">
        <f>IF('Incoming lots'!$A$77="","",'Incoming lots'!$A$77)</f>
        <v/>
      </c>
    </row>
    <row r="458">
      <c r="G458">
        <f>IF('Incoming lots'!$A$78="","",'Incoming lots'!$A$78)</f>
        <v/>
      </c>
    </row>
    <row r="459">
      <c r="G459">
        <f>IF('Incoming lots'!$A$79="","",'Incoming lots'!$A$79)</f>
        <v/>
      </c>
    </row>
    <row r="460">
      <c r="G460">
        <f>IF('Incoming lots'!$A$80="","",'Incoming lots'!$A$80)</f>
        <v/>
      </c>
    </row>
    <row r="461">
      <c r="G461">
        <f>IF('Incoming lots'!$A$81="","",'Incoming lots'!$A$81)</f>
        <v/>
      </c>
    </row>
    <row r="462">
      <c r="G462">
        <f>IF('Incoming lots'!$A$82="","",'Incoming lots'!$A$82)</f>
        <v/>
      </c>
    </row>
    <row r="463">
      <c r="G463">
        <f>IF('Incoming lots'!$A$83="","",'Incoming lots'!$A$83)</f>
        <v/>
      </c>
    </row>
    <row r="464">
      <c r="G464">
        <f>IF('Incoming lots'!$A$84="","",'Incoming lots'!$A$84)</f>
        <v/>
      </c>
    </row>
    <row r="465">
      <c r="G465">
        <f>IF('Incoming lots'!$A$85="","",'Incoming lots'!$A$85)</f>
        <v/>
      </c>
    </row>
    <row r="466">
      <c r="G466">
        <f>IF('Incoming lots'!$A$86="","",'Incoming lots'!$A$86)</f>
        <v/>
      </c>
    </row>
    <row r="467">
      <c r="G467">
        <f>IF('Incoming lots'!$A$87="","",'Incoming lots'!$A$87)</f>
        <v/>
      </c>
    </row>
    <row r="468">
      <c r="G468">
        <f>IF('Incoming lots'!$A$88="","",'Incoming lots'!$A$88)</f>
        <v/>
      </c>
    </row>
    <row r="469">
      <c r="G469">
        <f>IF('Incoming lots'!$A$89="","",'Incoming lots'!$A$89)</f>
        <v/>
      </c>
    </row>
    <row r="470">
      <c r="G470">
        <f>IF('Incoming lots'!$A$90="","",'Incoming lots'!$A$90)</f>
        <v/>
      </c>
    </row>
    <row r="471">
      <c r="G471">
        <f>IF('Incoming lots'!$A$91="","",'Incoming lots'!$A$91)</f>
        <v/>
      </c>
    </row>
    <row r="472">
      <c r="G472">
        <f>IF('Incoming lots'!$A$92="","",'Incoming lots'!$A$92)</f>
        <v/>
      </c>
    </row>
    <row r="473">
      <c r="G473">
        <f>IF('Incoming lots'!$A$93="","",'Incoming lots'!$A$93)</f>
        <v/>
      </c>
    </row>
    <row r="474">
      <c r="G474">
        <f>IF('Incoming lots'!$A$94="","",'Incoming lots'!$A$94)</f>
        <v/>
      </c>
    </row>
    <row r="475">
      <c r="G475">
        <f>IF('Incoming lots'!$A$95="","",'Incoming lots'!$A$95)</f>
        <v/>
      </c>
    </row>
    <row r="476">
      <c r="G476">
        <f>IF('Incoming lots'!$A$96="","",'Incoming lots'!$A$96)</f>
        <v/>
      </c>
    </row>
    <row r="477">
      <c r="G477">
        <f>IF('Incoming lots'!$A$97="","",'Incoming lots'!$A$97)</f>
        <v/>
      </c>
    </row>
    <row r="478">
      <c r="G478">
        <f>IF('Incoming lots'!$A$98="","",'Incoming lots'!$A$98)</f>
        <v/>
      </c>
    </row>
    <row r="479">
      <c r="G479">
        <f>IF('Incoming lots'!$A$99="","",'Incoming lots'!$A$99)</f>
        <v/>
      </c>
    </row>
    <row r="480">
      <c r="G480">
        <f>IF('Incoming lots'!$A$100="","",'Incoming lots'!$A$100)</f>
        <v/>
      </c>
    </row>
    <row r="481">
      <c r="G481">
        <f>IF('Incoming lots'!$A$101="","",'Incoming lots'!$A$101)</f>
        <v/>
      </c>
    </row>
    <row r="482">
      <c r="G482">
        <f>IF('Incoming lots'!$A$102="","",'Incoming lots'!$A$102)</f>
        <v/>
      </c>
    </row>
    <row r="483">
      <c r="G483">
        <f>IF('Incoming lots'!$A$103="","",'Incoming lots'!$A$103)</f>
        <v/>
      </c>
    </row>
    <row r="484">
      <c r="G484">
        <f>IF('Incoming lots'!$A$104="","",'Incoming lots'!$A$104)</f>
        <v/>
      </c>
    </row>
    <row r="485">
      <c r="G485">
        <f>IF('Incoming lots'!$A$105="","",'Incoming lots'!$A$105)</f>
        <v/>
      </c>
    </row>
    <row r="486">
      <c r="G486">
        <f>IF('Incoming lots'!$A$106="","",'Incoming lots'!$A$106)</f>
        <v/>
      </c>
    </row>
    <row r="487">
      <c r="G487">
        <f>IF('Incoming lots'!$A$107="","",'Incoming lots'!$A$107)</f>
        <v/>
      </c>
    </row>
    <row r="488">
      <c r="G488">
        <f>IF('Incoming lots'!$A$108="","",'Incoming lots'!$A$108)</f>
        <v/>
      </c>
    </row>
    <row r="489">
      <c r="G489">
        <f>IF('Incoming lots'!$A$109="","",'Incoming lots'!$A$109)</f>
        <v/>
      </c>
    </row>
    <row r="490">
      <c r="G490">
        <f>IF('Incoming lots'!$A$110="","",'Incoming lots'!$A$110)</f>
        <v/>
      </c>
    </row>
    <row r="491">
      <c r="G491">
        <f>IF('Incoming lots'!$A$111="","",'Incoming lots'!$A$111)</f>
        <v/>
      </c>
    </row>
    <row r="492">
      <c r="G492">
        <f>IF('Incoming lots'!$A$112="","",'Incoming lots'!$A$112)</f>
        <v/>
      </c>
    </row>
    <row r="493">
      <c r="G493">
        <f>IF('Incoming lots'!$A$113="","",'Incoming lots'!$A$113)</f>
        <v/>
      </c>
    </row>
    <row r="494">
      <c r="G494">
        <f>IF('Incoming lots'!$A$114="","",'Incoming lots'!$A$114)</f>
        <v/>
      </c>
    </row>
    <row r="495">
      <c r="G495">
        <f>IF('Incoming lots'!$A$115="","",'Incoming lots'!$A$115)</f>
        <v/>
      </c>
    </row>
    <row r="496">
      <c r="G496">
        <f>IF('Incoming lots'!$A$116="","",'Incoming lots'!$A$116)</f>
        <v/>
      </c>
    </row>
    <row r="497">
      <c r="G497">
        <f>IF('Incoming lots'!$A$117="","",'Incoming lots'!$A$117)</f>
        <v/>
      </c>
    </row>
    <row r="498">
      <c r="G498">
        <f>IF('Incoming lots'!$A$118="","",'Incoming lots'!$A$118)</f>
        <v/>
      </c>
    </row>
    <row r="499">
      <c r="G499">
        <f>IF('Incoming lots'!$A$119="","",'Incoming lots'!$A$119)</f>
        <v/>
      </c>
    </row>
    <row r="500">
      <c r="G500">
        <f>IF('Incoming lots'!$A$120="","",'Incoming lots'!$A$120)</f>
        <v/>
      </c>
    </row>
    <row r="501">
      <c r="G501">
        <f>IF('Incoming lots'!$A$121="","",'Incoming lots'!$A$121)</f>
        <v/>
      </c>
    </row>
    <row r="502">
      <c r="G502">
        <f>IF('Incoming lots'!$A$122="","",'Incoming lots'!$A$122)</f>
        <v/>
      </c>
    </row>
    <row r="503">
      <c r="G503">
        <f>IF('Incoming lots'!$A$123="","",'Incoming lots'!$A$123)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2026-08-17T12:32:49Z</dcterms:created>
  <dcterms:modified xmlns:dcterms="http://purl.org/dc/terms/" xmlns:xsi="http://www.w3.org/2001/XMLSchema-instance" xsi:type="dcterms:W3CDTF">2026-08-17T12:32:50Z</dcterms:modified>
</cp:coreProperties>
</file>